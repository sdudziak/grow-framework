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Evaluation Rules" sheetId="1" state="visible" r:id="rId3"/>
    <sheet name="Subject Criteria" sheetId="2" state="visible" r:id="rId4"/>
    <sheet name="Leader Criteria" sheetId="3" state="visible" r:id="rId5"/>
    <sheet name="HR Criteria" sheetId="4" state="visible" r:id="rId6"/>
    <sheet name="Overseer Criteria" sheetId="5" state="visible" r:id="rId7"/>
    <sheet name="Assessment &amp; Feedback" sheetId="6"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tc={0a0afb1a-0ebf-4ad4-823b-2c824ab0fec3}</author>
  </authors>
  <commentList>
    <comment ref="D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 roli `overseer` występuje inny lider
</t>
        </r>
      </text>
    </comment>
  </commentList>
</comments>
</file>

<file path=xl/comments4.xml><?xml version="1.0" encoding="utf-8"?>
<comments xmlns="http://schemas.openxmlformats.org/spreadsheetml/2006/main" xmlns:xdr="http://schemas.openxmlformats.org/drawingml/2006/spreadsheetDrawing">
  <authors>
    <author>tc={6bb9e6e1-b82a-4556-a5b5-d95057aee5d8}</author>
    <author>tc={b55844dc-f0f8-4f5f-b6b4-344704f0acb8}</author>
    <author>tc={cbdd34c3-5f03-4cfb-81ea-ac6d17907c76}</author>
    <author>tc={dacc6039-72d3-480a-ae6e-6797f0fa1756}</author>
    <author>tc={dd088537-6a0b-4417-9143-56c18aea48ee}</author>
  </authors>
  <commentList>
    <comment ref="C52"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miał doswiadczenie stosowanie unit testów
</t>
        </r>
      </text>
    </comment>
    <comment ref="C6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Nie jestem przekonany. Może "stara się"? Junior nie będzie rozumiał interesu zespołu jeszcze moim zdaniem.
</t>
        </r>
      </text>
    </comment>
    <comment ref="H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Trochę nie widzę tego jako osobne kryterium. Jak przyjdzie ktoś to w 100% będzie siedział na supportcie i naprawiał błędy, to co tutaj można odpowiedzieć ?
</t>
        </r>
      </text>
    </comment>
    <comment ref="M8"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Wygłada na coś co dotyczy specyficznego projektu. Nie podoba mi się ten punkt
</t>
        </r>
      </text>
    </comment>
    <comment ref="M20"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"Oraz obecnosc testerów w zespowie" - mozna usunac? :)
</t>
        </r>
      </text>
    </comment>
  </commentList>
</comments>
</file>

<file path=xl/sharedStrings.xml><?xml version="1.0" encoding="utf-8"?>
<sst xmlns="http://schemas.openxmlformats.org/spreadsheetml/2006/main" count="1816" uniqueCount="296">
  <si>
    <t xml:space="preserve">No.</t>
  </si>
  <si>
    <t xml:space="preserve">EVALUATION PREPARATION</t>
  </si>
  <si>
    <t xml:space="preserve">HOW TO CONDUCT THE EVALUATION</t>
  </si>
  <si>
    <t xml:space="preserve">PURPOSE OF EVALUATION</t>
  </si>
  <si>
    <t xml:space="preserve">EVALUATION FREQUENCY</t>
  </si>
  <si>
    <t xml:space="preserve">SCORING &amp; CONCLUSIONS</t>
  </si>
  <si>
    <t xml:space="preserve">RULES — FIRST ITERATION</t>
  </si>
  <si>
    <t xml:space="preserve">ASSESSMENT &amp; RESULTS</t>
  </si>
  <si>
    <t xml:space="preserve">FEEDBACK &amp; INDIVIDUAL DEVELOPMENT PLAN</t>
  </si>
  <si>
    <t xml:space="preserve">1.</t>
  </si>
  <si>
    <t xml:space="preserve">All parties participating in the evaluation are required to review the quality of the subject's code and gather all available information needed for a reliable and fair assessment.</t>
  </si>
  <si>
    <t xml:space="preserve">A minimum 3-person team (subject, HR, and direct Team Lead) is required for a proper and reliable evaluation.</t>
  </si>
  <si>
    <t xml:space="preserve">Setting development directions and providing dedicated support during goal execution.</t>
  </si>
  <si>
    <t xml:space="preserve">New hires — first evaluation within 3 months of joining (after full onboarding and integration into the team).</t>
  </si>
  <si>
    <t xml:space="preserve">Four columns are used for scoring: YES — the criterion is clearly present in the subject. IN PROGRESS — the subject is in the process of acquiring this competency, or the criterion is present only selectively. NO — the criterion is not present; the subject does not demonstrate this competency or skill. N/A — the criterion does not apply to the subject (not present in their project context, or not relevant to their role) or to the evaluator (who may lack the knowledge or data to assess it).</t>
  </si>
  <si>
    <t xml:space="preserve">The developer is informed well in advance of the planned evaluation.</t>
  </si>
  <si>
    <t xml:space="preserve">To qualify for a given level, the subject must score above 50% in every individual category (code quality, task estimation, independence and scope of responsibilities, knowledge, technical skills, language skills, attitude, teamwork) AND the overall average must be no lower than 70%.</t>
  </si>
  <si>
    <t xml:space="preserve">Feedback is delivered by HR and the Team Lead (and Overseer if needed). The Individual Development Plan is drafted by a minimum 3-person group: subject, Team Lead, and HR. Together, the team discusses the highest- and lowest-scoring sections, selects development areas, defines steps, chooses methods, and plans concrete actions. HR coordinates the plan and its execution.</t>
  </si>
  <si>
    <t xml:space="preserve">2.</t>
  </si>
  <si>
    <t xml:space="preserve">In exceptional cases, selected sections of the Overseer evaluation may be completed by another person who is qualified to assess in that situation.</t>
  </si>
  <si>
    <t xml:space="preserve">The HR representative evaluates only those areas for which they have knowledge, data, or direct observations.</t>
  </si>
  <si>
    <t xml:space="preserve">Standardising the naming and assessment of developer career levels (junior, mid, senior).</t>
  </si>
  <si>
    <t xml:space="preserve">Junior — every 6 months, no less frequently.</t>
  </si>
  <si>
    <t xml:space="preserve">Enter `1` in only one of the 4 columns described above. Every criterion must be assessed.</t>
  </si>
  <si>
    <t xml:space="preserve">Feedback is delivered no later than 30 days after all parties complete their assessments, unless otherwise agreed due to the individual circumstances of the subject or evaluators.</t>
  </si>
  <si>
    <t xml:space="preserve">To proceed to the evaluation of the next level, the subject must score above 80% in every individual category (code quality, task estimation, independence and scope of responsibilities, knowledge, technical skills, language skills, attitude, teamwork).</t>
  </si>
  <si>
    <t xml:space="preserve">The Individual Development Plan is a set of goals to achieve. Start with the first — the most important — and move to the next only after it has been completed.</t>
  </si>
  <si>
    <t xml:space="preserve">3.</t>
  </si>
  <si>
    <t xml:space="preserve">When evaluating a Team Lead, the Overseer role is filled by another Team Lead with indirect knowledge of the subject's work. The subject's direct leader role is then filled by the most senior available leader.</t>
  </si>
  <si>
    <t xml:space="preserve">Mid and Senior — every 12 months.</t>
  </si>
  <si>
    <t xml:space="preserve">N/A cells are excluded from the score calculation.</t>
  </si>
  <si>
    <t xml:space="preserve">After completing the evaluation of the entire team, everyone updates their email signatures and LinkedIn job titles to reflect their assessed level.</t>
  </si>
  <si>
    <t xml:space="preserve">Evaluation results are always discussed with the subject, HR, and Team Lead present. The Overseer may participate if the situation requires it. Together, the team discusses the highest- and lowest-scoring sections, selects development areas, defines steps, chooses methods, and plans concrete actions. HR coordinates the plan and its execution.</t>
  </si>
  <si>
    <t xml:space="preserve">Each goal is set using the SMART model. This is not a rigid rule, but a guide for making development work concrete.</t>
  </si>
  <si>
    <t xml:space="preserve">4.</t>
  </si>
  <si>
    <t xml:space="preserve">The subject themselves.</t>
  </si>
  <si>
    <t xml:space="preserve">4. </t>
  </si>
  <si>
    <t xml:space="preserve">Expert — individually, based on an agreed development plan. If no plan — every 12 months.</t>
  </si>
  <si>
    <t xml:space="preserve">Tags and commercial project experience (at the top of the sheet) are used for descriptive assessment.</t>
  </si>
  <si>
    <t xml:space="preserve">The framework for seniority levels is called GROW.</t>
  </si>
  <si>
    <t xml:space="preserve">S — specific: clearly formulated, leaves no room for ambiguity.</t>
  </si>
  <si>
    <t xml:space="preserve">5.</t>
  </si>
  <si>
    <t xml:space="preserve">The most senior leader may participate in evaluations of Developers and Team Leads; their presence is not mandatory. In the event of a dispute exceeding HR competence, the most senior leader has the casting vote.</t>
  </si>
  <si>
    <t xml:space="preserve">Reference points are descriptive aids that define what a given level looks like in practice.</t>
  </si>
  <si>
    <t xml:space="preserve">M — measurable: indicators exist that allow us to answer "how will we know the goal has been achieved".</t>
  </si>
  <si>
    <t xml:space="preserve">6.</t>
  </si>
  <si>
    <t xml:space="preserve">Each person listed above conducts the evaluation independently. Extreme discrepancies in scores should be resolved immediately after the evaluation is complete. </t>
  </si>
  <si>
    <t xml:space="preserve">The "full-time commercial experience / years" row is filled with the number corresponding to the subject's accumulated commercial experience.</t>
  </si>
  <si>
    <t xml:space="preserve">A — ambitious: the goal must be challenging enough to motivate the developer.</t>
  </si>
  <si>
    <t xml:space="preserve">7.</t>
  </si>
  <si>
    <t xml:space="preserve">R — realistic: must be achievable given available internal and external resources. Overly ambitious goals can demotivate.</t>
  </si>
  <si>
    <t xml:space="preserve">8.</t>
  </si>
  <si>
    <t xml:space="preserve">T — time-bound: a deadline should be set (can be divided into sprints, allowing the leader to track whether progress is being made).</t>
  </si>
  <si>
    <t xml:space="preserve">GROW Framework v2.0 — Szymon Dudziak, Katarzyna Lasoń, Adam Biegański — CC BY 4.0</t>
  </si>
  <si>
    <t xml:space="preserve">JUNIOR</t>
  </si>
  <si>
    <t xml:space="preserve">MID</t>
  </si>
  <si>
    <t xml:space="preserve">SENIOR</t>
  </si>
  <si>
    <t xml:space="preserve">EXPERT / ARCHITECT</t>
  </si>
  <si>
    <t xml:space="preserve">PRELIMINARY</t>
  </si>
  <si>
    <t xml:space="preserve">Tags</t>
  </si>
  <si>
    <t xml:space="preserve">#apply (strives, commits, follows through)</t>
  </si>
  <si>
    <t xml:space="preserve">descriptive assessment — reference the subject's fit against the level definition (in brackets) they are being evaluated for.</t>
  </si>
  <si>
    <t xml:space="preserve">#enable (independent, self-sufficient, autonomous)</t>
  </si>
  <si>
    <t xml:space="preserve">#ensure/advise (guarantees, safeguards / advises)</t>
  </si>
  <si>
    <t xml:space="preserve">#initiate/influence (initiates, inspires / influences, drives change)</t>
  </si>
  <si>
    <t xml:space="preserve">Full-time commercial experience / years</t>
  </si>
  <si>
    <t xml:space="preserve">0.5–2.5 yrs (+ personal/dev projects)</t>
  </si>
  <si>
    <t xml:space="preserve">fill in the number of years of commercial experience accumulated by the subject.</t>
  </si>
  <si>
    <t xml:space="preserve">5+</t>
  </si>
  <si>
    <t xml:space="preserve">7+</t>
  </si>
  <si>
    <t xml:space="preserve">Commercial project experience</t>
  </si>
  <si>
    <t xml:space="preserve">Lack of commercial experience is acceptable if compensated by self-directed development projects (verified during recruitment, e.g. GitHub repo or similar). Does not need to be ready for independent project work; may require support. Should have development goals set for a defined period, to be reviewed at the end of that period (SMART goals — specific, measurable, ambitious, realistic, time-bound).</t>
  </si>
  <si>
    <t xml:space="preserve">descriptive assessment</t>
  </si>
  <si>
    <t xml:space="preserve">Has participated in small commercial projects or one larger group commercial project; develops independently, can demonstrate a personal development project.</t>
  </si>
  <si>
    <t xml:space="preserve">Has participated in a variety of commercial projects, learns new technologies, pursues personal development projects outside of work hours.</t>
  </si>
  <si>
    <t xml:space="preserve">Has participated in various commercial projects, has successfully designed architecture independently, has leadership/management experience. Continuously develops knowledge in both technical and soft skill areas.</t>
  </si>
  <si>
    <t xml:space="preserve">Reference points (Senior/Expert)</t>
  </si>
  <si>
    <t xml:space="preserve">NO</t>
  </si>
  <si>
    <t xml:space="preserve">YES</t>
  </si>
  <si>
    <t xml:space="preserve">1. Can I identify bad practices and non-standard approaches in a project?</t>
  </si>
  <si>
    <t xml:space="preserve">2. Can I locate their root causes?</t>
  </si>
  <si>
    <t xml:space="preserve">3. Can I independently begin paying down technical debt in a project?</t>
  </si>
  <si>
    <t xml:space="preserve">4. Can I build an argument to convince management of an important technical problem?</t>
  </si>
  <si>
    <t xml:space="preserve">5. Can I select appropriate technologies for a project's requirements?</t>
  </si>
  <si>
    <t xml:space="preserve">6. Can I predict the technological direction a project will take, anticipate the consequences, and prepare myself, my team, and the project for upcoming changes?</t>
  </si>
  <si>
    <t xml:space="preserve">7. Can I guide less experienced colleagues in their development direction (and monitor it) so they can reach Senior level and beyond?</t>
  </si>
  <si>
    <t xml:space="preserve">8. Can I smoothly migrate a project's architecture without causing a work standstill?</t>
  </si>
  <si>
    <t xml:space="preserve">9. Can I minimise the impact of past poor architectural or technological decisions in a project?</t>
  </si>
  <si>
    <t xml:space="preserve">Score (%)</t>
  </si>
  <si>
    <t xml:space="preserve">IN PROGRESS</t>
  </si>
  <si>
    <t xml:space="preserve">N/A</t>
  </si>
  <si>
    <t xml:space="preserve">PROJECT WORK</t>
  </si>
  <si>
    <t xml:space="preserve">Code quality</t>
  </si>
  <si>
    <t xml:space="preserve">1. Effectively completes assigned tasks. (Note: writes code and creates/updates technical documentation in line with project and team standards.)</t>
  </si>
  <si>
    <t xml:space="preserve">1. Writes clean, readable code. (Note: knows and applies good coding practices.) (Tip: before scoring, the direct leader must review the subject's code.)</t>
  </si>
  <si>
    <t xml:space="preserve">1. Writes code according to established project and company standards and ensures their adoption across the team.</t>
  </si>
  <si>
    <t xml:space="preserve">1. Handles projects with significant technical debt.</t>
  </si>
  <si>
    <t xml:space="preserve">2. Attempts to solve problems and fix their own mistakes. (Note: at this stage they are not required to identify root-cause relationships.)</t>
  </si>
  <si>
    <t xml:space="preserve">2. Produces good-quality solutions. (Note: makes only occasional mistakes.) </t>
  </si>
  <si>
    <t xml:space="preserve">2. Designs technical solutions that are stable, high-quality, and use established design patterns. </t>
  </si>
  <si>
    <t xml:space="preserve">2. Efficiently designs and implements performant, secure, and scalable system architecture.</t>
  </si>
  <si>
    <t xml:space="preserve">3. Knows what good coding practices are and what they are for. (Note: at this stage they are not required to apply or deeply understand them.)</t>
  </si>
  <si>
    <t xml:space="preserve">3. Can identify their own mistakes and find their root causes.</t>
  </si>
  <si>
    <t xml:space="preserve">3. Conducts thorough code reviews for other team members, ensuring good coding practices are followed. (Note: identifies errors, proposes optimal solutions, provides professional feedback, and highlights areas for growth.)</t>
  </si>
  <si>
    <t xml:space="preserve">3. Their actions and decisions in leading the project/team deliver maximum technical, business, and managerial value.</t>
  </si>
  <si>
    <t xml:space="preserve">4. Persistent in seeking optimal solutions. (Note: searches through own channels and/or seeks help from teammates. Asks questions, clarifies, digs deeper. Solution-oriented — effectiveness is secondary at this stage; attitude matters most.)</t>
  </si>
  <si>
    <t xml:space="preserve">4. Is receptive to Mentor feedback and draws lessons for the future.</t>
  </si>
  <si>
    <t xml:space="preserve">4. Promotes knowledge sharing and the use of good programming practices.</t>
  </si>
  <si>
    <t xml:space="preserve">4. Analyses and implements corrective actions in relation to the client's processes and environment.</t>
  </si>
  <si>
    <t xml:space="preserve">5. Can design and implement a basic testing framework.</t>
  </si>
  <si>
    <t xml:space="preserve">5. Advocates for the importance of testing.</t>
  </si>
  <si>
    <t xml:space="preserve">5. Shapes standards across the organisation, drives change, and improves processes at a company-wide level.</t>
  </si>
  <si>
    <t xml:space="preserve">6. Creates and/or maintains technical documentation.</t>
  </si>
  <si>
    <t xml:space="preserve">6. Demonstrates understanding of the business side of the project. (Note: seeks solutions optimal for both developers and the client. Can translate business goals into developer-friendly language.)</t>
  </si>
  <si>
    <t xml:space="preserve">Task estimation</t>
  </si>
  <si>
    <t xml:space="preserve">1. Attempts to estimate straightforward tasks.</t>
  </si>
  <si>
    <t xml:space="preserve">1. Can accurately estimate task complexity and deliver within the agreed plan. (Note: in at least half of cases.)</t>
  </si>
  <si>
    <t xml:space="preserve">1. Delivers accurate complexity estimates that account for resources, hypothetical risks, and the overall difficulty of the project.</t>
  </si>
  <si>
    <t xml:space="preserve">1. Can correctly estimate entire projects or complex system components.</t>
  </si>
  <si>
    <t xml:space="preserve">2. Applies a methodical approach to scoping tasks. (Note: based on the team's agreed method, not personal intuition alone.)</t>
  </si>
  <si>
    <t xml:space="preserve">2. When reality diverges from the estimate, knows where to seek help to take the right steps and deliver in optimal time.</t>
  </si>
  <si>
    <t xml:space="preserve">2. Assists colleagues at earlier career stages with task estimation. Reinforces good practices in this area.</t>
  </si>
  <si>
    <t xml:space="preserve">2. During estimation, is open to input from Managers and others responsible for delivering individual parts of the system.</t>
  </si>
  <si>
    <t xml:space="preserve">3. Draws lessons from estimation mistakes.</t>
  </si>
  <si>
    <t xml:space="preserve">Independence and scope of responsibilities</t>
  </si>
  <si>
    <t xml:space="preserve">1. Ready to work on a commercial project and complete straightforward tasks with the support of a Mentor and/or experienced developer.</t>
  </si>
  <si>
    <t xml:space="preserve">1. Independently completes assigned tasks appropriate to their level that do not require team collaboration.</t>
  </si>
  <si>
    <t xml:space="preserve">1. Can independently handle the vast majority of assigned tasks or a solo project with full autonomy.</t>
  </si>
  <si>
    <t xml:space="preserve">1. Acts as a Mentor to Seniors, helping them resolve technical, business, and architectural challenges.</t>
  </si>
  <si>
    <t xml:space="preserve">2. During daily task execution, is open to suggestions from colleagues and/or Mentor. (Note: when facing a problem, first attempts to understand and solve it independently; if that fails, consults others to avoid reinventing the wheel.)</t>
  </si>
  <si>
    <t xml:space="preserve">2. A general definition of the task scope is sufficient for them to complete it to project standards.</t>
  </si>
  <si>
    <t xml:space="preserve">2. A general definition of the goal is fully sufficient to deliver the task at a high standard.</t>
  </si>
  <si>
    <t xml:space="preserve">2. Has supported the growth of multiple people, bringing them to Senior level.</t>
  </si>
  <si>
    <t xml:space="preserve">3. Their work results show progressive development. (Note: even though they still require regular code review from a Mentor or senior colleagues.)</t>
  </si>
  <si>
    <t xml:space="preserve">3. During task execution, applies good practices related to consistency, functionality, security, performance, and presentation.</t>
  </si>
  <si>
    <t xml:space="preserve">3. Independently resolves complex problems in the project, including architectural ones.</t>
  </si>
  <si>
    <t xml:space="preserve">3. Takes deliberate steps to reconcile the company's business goals with the client's interests and developers' technical priorities. Demonstrates understanding for each perspective.</t>
  </si>
  <si>
    <t xml:space="preserve">4. Can partially complete (in at least half of cases) non-routine tasks they have not encountered before.</t>
  </si>
  <si>
    <t xml:space="preserve">4. Requires Mentor support only for architectural decisions or particularly complex/non-standard problems.</t>
  </si>
  <si>
    <t xml:space="preserve">4. Knows what steps to take to "put out a fire" in the codebase.</t>
  </si>
  <si>
    <t xml:space="preserve">4. Effectively resolves both typical and unusual project problems, even under time pressure and stress.</t>
  </si>
  <si>
    <t xml:space="preserve">5. Can begin working independently on tasks, even when detailed scoping or discussion with a Mentor is required first.</t>
  </si>
  <si>
    <t xml:space="preserve">5. Can take the steps necessary to complete a planned task.</t>
  </si>
  <si>
    <t xml:space="preserve">5. Makes sound decisions under time pressure.</t>
  </si>
  <si>
    <t xml:space="preserve">5. Educates developers, sets goals, and identifies development areas. </t>
  </si>
  <si>
    <t xml:space="preserve">6. Trivial mistakes occur only sporadically.</t>
  </si>
  <si>
    <t xml:space="preserve">6. Takes a stance of responsibility for the quality of their work and its outcomes. (Note: does not leave tasks in a "I don't know what to do next" state; actively pursues resolution; does not shift personal responsibility onto the group. Promotes this mindset through their own behaviour and attitude.</t>
  </si>
  <si>
    <t xml:space="preserve">6. Maintains team cohesion and motivates others.</t>
  </si>
  <si>
    <t xml:space="preserve">7. Independently verifies that implemented features align with technical documentation and the business goals of the project and/or client.</t>
  </si>
  <si>
    <t xml:space="preserve">8. Understands the value of documentation, maintains it according to agreed standards, and monitors the documentation produced by the team.</t>
  </si>
  <si>
    <t xml:space="preserve">9. Can effectively onboard new team members.</t>
  </si>
  <si>
    <t xml:space="preserve">COMPETENCIES</t>
  </si>
  <si>
    <t xml:space="preserve">Knowledge</t>
  </si>
  <si>
    <t xml:space="preserve">1. Has foundational knowledge of software development (data structures, algorithms, OOP), or alternatively has at least 2 years of commercial project experience at a minimum of ¾ full-time.</t>
  </si>
  <si>
    <t xml:space="preserve">1. Has comprehensive/academic knowledge of software development (data structures, algorithm design, OOP) — not necessarily from a formal degree.</t>
  </si>
  <si>
    <t xml:space="preserve">1. Has comprehensive and up-to-date knowledge of software development (data structures, algorithm design, OOP).</t>
  </si>
  <si>
    <t xml:space="preserve">1. Has deep expertise in their primary technology. (Note: their knowledge is broad and current, covering used libraries, environments, and workflow optimisation solutions.)</t>
  </si>
  <si>
    <t xml:space="preserve">2. Has basic knowledge of the technologies they specialise in, including relevant libraries and frameworks.</t>
  </si>
  <si>
    <t xml:space="preserve">2. Has deep academic or project-based knowledge (gained through commercial experience) in their area of specialisation, including relevant libraries and frameworks. </t>
  </si>
  <si>
    <t xml:space="preserve">2. Has extensive knowledge across at least 2–3 technology areas.</t>
  </si>
  <si>
    <t xml:space="preserve">2. Can propose the optimal technology stack for a project based on client needs and available resources.</t>
  </si>
  <si>
    <t xml:space="preserve">3. Has general knowledge of various technologies outside their primary specialisation. </t>
  </si>
  <si>
    <t xml:space="preserve">3. Based on their knowledge and application of good practices, contributes to setting standards on the project.</t>
  </si>
  <si>
    <t xml:space="preserve">3. Has knowledge of enterprise architecture and system design (e.g. monolithic, distributed, cloud systems).
</t>
  </si>
  <si>
    <t xml:space="preserve">4. Has extensive knowledge of the technologies, languages, libraries, and frameworks they use. Shares this knowledge to support the team.</t>
  </si>
  <si>
    <t xml:space="preserve">4. Understands how the business operates and introduces solutions that improve it.
</t>
  </si>
  <si>
    <t xml:space="preserve">5. Has comprehensive knowledge of the Software Development Life Cycle (SDLC).</t>
  </si>
  <si>
    <t xml:space="preserve">5. Understands the business world and how it operates, enabling quick adaptation to the client's context.</t>
  </si>
  <si>
    <t xml:space="preserve">6. Can distinguish unusual situations from genuine problems, anticipate edge cases, handle non-standard scenarios, and help others in such situations.</t>
  </si>
  <si>
    <t xml:space="preserve">6. Can identify and understands the risks of chosen solutions. Has knowledge of risk prevention and how to handle potential issues.</t>
  </si>
  <si>
    <t xml:space="preserve">SKILLS</t>
  </si>
  <si>
    <t xml:space="preserve">Technical skills</t>
  </si>
  <si>
    <t xml:space="preserve">1. Shows openness to learning basic work tools (e.g. Jira, Git/SVN). May rely on support from more experienced colleagues.</t>
  </si>
  <si>
    <t xml:space="preserve">1. Can effectively use the tools essential to a developer's work (Jira, Git/SVN). </t>
  </si>
  <si>
    <t xml:space="preserve">1. Is an expert in the tools required for their work. Fully leverages their capabilities and assists less experienced colleagues.</t>
  </si>
  <si>
    <t xml:space="preserve">1. Has knowledge of enterprise system architecture and design (e.g. monolithic, distributed, cloud-based systems).</t>
  </si>
  <si>
    <t xml:space="preserve">2. Understands the principles of programming fundamentals. (Note: at this stage they are not always required to apply them correctly.)</t>
  </si>
  <si>
    <t xml:space="preserve">2. Understands and can apply programming paradigms (OOP, DRY, reactive, functional, etc.)</t>
  </si>
  <si>
    <t xml:space="preserve">2. Deliberately applies a proven set of good practices in architectural and process decision-making.</t>
  </si>
  <si>
    <t xml:space="preserve">2. Has insight into the company's situation and the business it conducts. Can propose and implement solutions that improve its operation.</t>
  </si>
  <si>
    <t xml:space="preserve">3. Can write correctly functioning code with defined features. (Note: at this stage, fully clean and readable code is not required.)</t>
  </si>
  <si>
    <t xml:space="preserve">3. Can modernise existing (legacy) code in a project, proportionate to their level.</t>
  </si>
  <si>
    <t xml:space="preserve">3. Understands security risks of chosen solutions and can prevent or resolve them.</t>
  </si>
  <si>
    <t xml:space="preserve">3. Can clearly and accessibly communicate the client's business goal to the team, helping developers understand the context of changes and decisions.</t>
  </si>
  <si>
    <t xml:space="preserve">4. Understands the importance of writing tests. (Note: at this stage they are not required to write them.)</t>
  </si>
  <si>
    <t xml:space="preserve">4. Knows, understands, and correctly applies the standards adopted on the project. </t>
  </si>
  <si>
    <t xml:space="preserve">4. Can identify risk and technical debt in a project.</t>
  </si>
  <si>
    <t xml:space="preserve">4. Has a technological vision for the project, resists unjustified external pressures, and drives implementation of that vision across the team.</t>
  </si>
  <si>
    <t xml:space="preserve">5. Proposes solutions to technical problems (not always optimal) and engages in discussion about them. </t>
  </si>
  <si>
    <t xml:space="preserve">5. Knows and proposes technologies and processes well-suited to the client's needs and context.</t>
  </si>
  <si>
    <t xml:space="preserve">6. Knows and understands the principles of design patterns.</t>
  </si>
  <si>
    <t xml:space="preserve">7. Can appropriately select a design pattern for a given situation.</t>
  </si>
  <si>
    <t xml:space="preserve">8. Consistently writes unit tests.</t>
  </si>
  <si>
    <t xml:space="preserve">9. Accepts project goals and actively works toward their achievement through actions and attitude.</t>
  </si>
  <si>
    <t xml:space="preserve">Language skills</t>
  </si>
  <si>
    <t xml:space="preserve">1. Can communicate clearly (verbally) in a foreign language.</t>
  </si>
  <si>
    <t xml:space="preserve">1. Can communicate correctly (verbally) in a foreign language.</t>
  </si>
  <si>
    <t xml:space="preserve">1. Is fluent in verbal communication in a foreign language.</t>
  </si>
  <si>
    <t xml:space="preserve">1. Communicates verbally in a foreign language correctly and naturally.</t>
  </si>
  <si>
    <t xml:space="preserve">2. Can communicate clearly in writing in a foreign language.</t>
  </si>
  <si>
    <t xml:space="preserve">2. Can communicate correctly in writing in a foreign language.</t>
  </si>
  <si>
    <t xml:space="preserve">2. Is fluent in written communication in a foreign language.</t>
  </si>
  <si>
    <t xml:space="preserve">2. Communicates in writing in a foreign language correctly and naturally.</t>
  </si>
  <si>
    <t xml:space="preserve">3. Confidently participates in discussions conducted in a foreign language.</t>
  </si>
  <si>
    <t xml:space="preserve">3. Can conduct effective discussions in a foreign language.</t>
  </si>
  <si>
    <t xml:space="preserve">3. Can lead discussions conducted in a foreign language.</t>
  </si>
  <si>
    <t xml:space="preserve">4. Can effectively and successfully conduct business negotiations in a foreign language.</t>
  </si>
  <si>
    <t xml:space="preserve">Teamwork</t>
  </si>
  <si>
    <t xml:space="preserve">1. Can collaborate within a project team and/or at a company-wide level.</t>
  </si>
  <si>
    <t xml:space="preserve">1. Can collaborate within a project team and at a company-wide level.</t>
  </si>
  <si>
    <t xml:space="preserve">1. Puts the team's interests above their own.</t>
  </si>
  <si>
    <t xml:space="preserve">1. Can embed the principle of putting group interests above personal ones within their team and/or the wider company.</t>
  </si>
  <si>
    <t xml:space="preserve">2. Is open to substantive discussion with team members.</t>
  </si>
  <si>
    <t xml:space="preserve">2. Can put the team's interests above their own.</t>
  </si>
  <si>
    <t xml:space="preserve">2. In disputes, seeks compromise while preserving relationships and a positive team/company atmosphere.</t>
  </si>
  <si>
    <t xml:space="preserve">2. Can effectively resolve team and/or company disputes through compromise, preserving relationships and a positive atmosphere.</t>
  </si>
  <si>
    <t xml:space="preserve">3. Is open to differences within the team/company. (Note: refers to differences in views, opinions, ideas, perspectives.)</t>
  </si>
  <si>
    <t xml:space="preserve">3. Through their attitude, inspires others to embrace differences within the team/company. (Note: refers to differences in views, opinions, ideas, perspectives.)</t>
  </si>
  <si>
    <t xml:space="preserve">4. Deliberately cultivates a team spirit among their team members.</t>
  </si>
  <si>
    <t xml:space="preserve">4. Deliberately cultivates a team spirit among their team and/or company.</t>
  </si>
  <si>
    <t xml:space="preserve">ATTITUDE</t>
  </si>
  <si>
    <t xml:space="preserve">Growth mindset, engagement, motivation, communication, relationships.</t>
  </si>
  <si>
    <t xml:space="preserve">1. Is open to acquiring knowledge and deepening skills.</t>
  </si>
  <si>
    <t xml:space="preserve">1. Has a consciously and independently defined development plan.</t>
  </si>
  <si>
    <t xml:space="preserve">1. Objectively assesses their own knowledge and competencies. (Note: is aware of their development areas and sets SMART goals — specific, measurable, ambitious, realistic, time-bound.)</t>
  </si>
  <si>
    <t xml:space="preserve">1. Opens themselves to new, business-adjacent domains; continuously acquires additional knowledge and competencies with steady growth.</t>
  </si>
  <si>
    <t xml:space="preserve">2. Should be able to name at least one source from which they actively learn.</t>
  </si>
  <si>
    <t xml:space="preserve">2. Is aware of their development areas and sets SMART goals.</t>
  </si>
  <si>
    <t xml:space="preserve">2. Is proactive and pursues self-directed development activities outside the project to keep up with technical developments in the industry.</t>
  </si>
  <si>
    <t xml:space="preserve">2. Is widely regarded (by the company, team, and client) as an authority in their field. Serves as a knowledge source and point of reference for technological development.</t>
  </si>
  <si>
    <t xml:space="preserve">3. Communicates a desire to develop in specific areas. </t>
  </si>
  <si>
    <t xml:space="preserve">3. Is open to development suggestions from their Team Lead/Manager and HR.</t>
  </si>
  <si>
    <t xml:space="preserve">3. Leads by example through their attitude and consistent delivery on stated goals.</t>
  </si>
  <si>
    <t xml:space="preserve">3. Draws knowledge and experience from diverse sources in order to apply and implement it across the company (not just within their own project).</t>
  </si>
  <si>
    <t xml:space="preserve">4. Consistently follows through on their development plan. Does not give up despite setbacks or obstacles.</t>
  </si>
  <si>
    <t xml:space="preserve">4. Follows online publications in their area of specialisation. Can name at least 2 credible authors or sources they regularly use.</t>
  </si>
  <si>
    <t xml:space="preserve">4. Helps younger colleagues formulate development goals and advises on how to achieve them. (Note: engages in dialogue with HR, identifying growth areas, proposing solutions, and defining specific steps.)</t>
  </si>
  <si>
    <t xml:space="preserve">4. Is proactive regarding developers' career path planning and supports them wherever possible.</t>
  </si>
  <si>
    <t xml:space="preserve">5. Is motivated to gain foundational experience and is committed to working on the project.</t>
  </si>
  <si>
    <t xml:space="preserve">5. Pursues independent development activities outside the project (meetups, workshops, conferences, tutorials, webinars) aligned with their development goals.</t>
  </si>
  <si>
    <t xml:space="preserve">5. Drives change and oversees its progress. Actively participates in corrective and improvement actions. Approaches group resistance with maturity, understanding it as a natural part of change. Supports the team and demonstrates patience.</t>
  </si>
  <si>
    <t xml:space="preserve">5. Is flexible and reflective when processing new information.</t>
  </si>
  <si>
    <t xml:space="preserve">6. Has their own observations about needed changes in the company/project and shares them openly. (Note: at this stage these observations are not required to always be correct or well-judged.)</t>
  </si>
  <si>
    <t xml:space="preserve">6. Takes a proactive stance.
(Note: shares ideas for improving work efficiency, team management, project management, and company operations. Some ideas may be off-target, presented from a developer's perspective without full visibility into the client's or business's side.)</t>
  </si>
  <si>
    <t xml:space="preserve">6. Maintains consistently high engagement, sets an example for the team, and instils a sense of responsibility for the project, the company, and the client's business goals.</t>
  </si>
  <si>
    <t xml:space="preserve">6. Supports the team's proactivity and values the change proposals they put forward. </t>
  </si>
  <si>
    <t xml:space="preserve">7. Is engaged in the life of the company.</t>
  </si>
  <si>
    <t xml:space="preserve">7. Actively participates in implementing changes, identifies tasks that need doing without waiting to be told.</t>
  </si>
  <si>
    <t xml:space="preserve">7. Takes responsibility for the quality of communication, relationships, and wellbeing within their team. Takes active part in corrective actions when needed.</t>
  </si>
  <si>
    <t xml:space="preserve">7. Seeks alternative solutions for implementing development activities when standard paths fail.</t>
  </si>
  <si>
    <t xml:space="preserve">8. Shows a consistently stable level of motivation. No significant drops in engagement observed.</t>
  </si>
  <si>
    <t xml:space="preserve">8. In disputes, actively seeks compromise.</t>
  </si>
  <si>
    <t xml:space="preserve">8. Holds a deep, internal conviction about the importance of developing both their own and their developers' competencies.</t>
  </si>
  <si>
    <t xml:space="preserve">9. In disputes, shows a genuine desire to find compromise.</t>
  </si>
  <si>
    <t xml:space="preserve">9. Is engaged in the project and the life of the company; identifies with it.</t>
  </si>
  <si>
    <t xml:space="preserve">10. Their attitude does not negatively affect the team and/or company atmosphere.</t>
  </si>
  <si>
    <t xml:space="preserve">10. Takes responsibility for their decisions and results in areas where they hold decision-making authority.</t>
  </si>
  <si>
    <t xml:space="preserve">11. Can distinguish unusual situations from genuine problems, anticipate edge cases, handle non-standard scenarios, and help others do the same.</t>
  </si>
  <si>
    <t xml:space="preserve">12. In disputes, shows a genuine desire to find compromise.</t>
  </si>
  <si>
    <t xml:space="preserve">13. Works effectively with other departments. Reports problems, identifies connections and cause-effect chains. When collaborating across departments, seeks optimal solutions to encountered problems.</t>
  </si>
  <si>
    <t xml:space="preserve">Section scores [%]</t>
  </si>
  <si>
    <t xml:space="preserve">Goals after estimation</t>
  </si>
  <si>
    <t xml:space="preserve">First steps — action plan</t>
  </si>
  <si>
    <t xml:space="preserve">Legend</t>
  </si>
  <si>
    <t xml:space="preserve">1. The default starting state for all fields is: `N/A`.</t>
  </si>
  <si>
    <t xml:space="preserve">2. A filled cell is one that contains `1`.</t>
  </si>
  <si>
    <t xml:space="preserve">Intended sheet behaviour.
Do not report as an error.</t>
  </si>
  <si>
    <t xml:space="preserve">Error — check cell values</t>
  </si>
  <si>
    <r>
      <rPr>
        <sz val="10"/>
        <rFont val="Cambria"/>
        <family val="0"/>
        <charset val="1"/>
      </rPr>
      <t xml:space="preserve">More than one cell filled in a row,
</t>
    </r>
    <r>
      <rPr>
        <b val="true"/>
        <sz val="10"/>
        <rFont val="Cambria"/>
        <family val="0"/>
        <charset val="1"/>
      </rPr>
      <t xml:space="preserve">OR</t>
    </r>
    <r>
      <rPr>
        <sz val="10"/>
        <rFont val="Cambria"/>
        <family val="0"/>
        <charset val="1"/>
      </rPr>
      <t xml:space="preserve"> a cell was filled with a value other than `1`,
</t>
    </r>
    <r>
      <rPr>
        <b val="true"/>
        <sz val="10"/>
        <rFont val="Cambria"/>
        <family val="0"/>
        <charset val="1"/>
      </rPr>
      <t xml:space="preserve">OR </t>
    </r>
    <r>
      <rPr>
        <sz val="10"/>
        <rFont val="Cambria"/>
        <family val="0"/>
        <charset val="1"/>
      </rPr>
      <t xml:space="preserve">no cell was filled in the row.</t>
    </r>
  </si>
  <si>
    <t xml:space="preserve">Attitude</t>
  </si>
  <si>
    <t xml:space="preserve">Empty section</t>
  </si>
  <si>
    <t xml:space="preserve">Not all evaluators have completed this section.</t>
  </si>
  <si>
    <t xml:space="preserve">Final score [%]</t>
  </si>
  <si>
    <t xml:space="preserve">Too few answers</t>
  </si>
  <si>
    <t xml:space="preserve">Too few answers provided (excluding N/A).</t>
  </si>
  <si>
    <t xml:space="preserve">Reference points</t>
  </si>
  <si>
    <t xml:space="preserve">Feedback</t>
  </si>
  <si>
    <t xml:space="preserve">Subject</t>
  </si>
  <si>
    <t xml:space="preserve">Team Lead</t>
  </si>
  <si>
    <t xml:space="preserve">HR</t>
  </si>
  <si>
    <t xml:space="preserve">Overseer</t>
  </si>
  <si>
    <t xml:space="preserve">Reference points [%]</t>
  </si>
  <si>
    <t xml:space="preserve">Final score:</t>
  </si>
  <si>
    <t xml:space="preserve">- junior developer </t>
  </si>
  <si>
    <t xml:space="preserve">- mid developer</t>
  </si>
  <si>
    <t xml:space="preserve">- senior developer</t>
  </si>
  <si>
    <t xml:space="preserve">- expert / architect</t>
  </si>
  <si>
    <t xml:space="preserve">Code
quality</t>
  </si>
  <si>
    <t xml:space="preserve">Task
estimation</t>
  </si>
  <si>
    <t xml:space="preserve">Independence
and scope of
responsibilities</t>
  </si>
  <si>
    <t xml:space="preserve">Junior assessment:</t>
  </si>
  <si>
    <t xml:space="preserve">Mid assessment:</t>
  </si>
  <si>
    <t xml:space="preserve">Senior assessment:</t>
  </si>
  <si>
    <t xml:space="preserve">Expert / Architect assessment:</t>
  </si>
  <si>
    <t xml:space="preserve">I</t>
  </si>
  <si>
    <t xml:space="preserve">II</t>
  </si>
</sst>
</file>

<file path=xl/styles.xml><?xml version="1.0" encoding="utf-8"?>
<styleSheet xmlns="http://schemas.openxmlformats.org/spreadsheetml/2006/main">
  <numFmts count="2">
    <numFmt numFmtId="164" formatCode="General"/>
    <numFmt numFmtId="165" formatCode="m\-d"/>
  </numFmts>
  <fonts count="45">
    <font>
      <sz val="10"/>
      <color rgb="FF000000"/>
      <name val="Arial"/>
      <family val="0"/>
      <charset val="1"/>
    </font>
    <font>
      <sz val="10"/>
      <name val="Arial"/>
      <family val="0"/>
    </font>
    <font>
      <sz val="10"/>
      <name val="Arial"/>
      <family val="0"/>
    </font>
    <font>
      <sz val="10"/>
      <name val="Arial"/>
      <family val="0"/>
    </font>
    <font>
      <b val="true"/>
      <sz val="11"/>
      <color rgb="FFF3F3F3"/>
      <name val="Cambria"/>
      <family val="0"/>
      <charset val="1"/>
    </font>
    <font>
      <sz val="11"/>
      <color rgb="FFF3F3F3"/>
      <name val="Cambria"/>
      <family val="0"/>
      <charset val="1"/>
    </font>
    <font>
      <sz val="11"/>
      <color rgb="FF073763"/>
      <name val="Cambria"/>
      <family val="0"/>
      <charset val="1"/>
    </font>
    <font>
      <sz val="11"/>
      <color rgb="FF073763"/>
      <name val="Arial"/>
      <family val="0"/>
      <charset val="1"/>
    </font>
    <font>
      <sz val="11"/>
      <name val="Cambria"/>
      <family val="0"/>
      <charset val="1"/>
    </font>
    <font>
      <i val="true"/>
      <sz val="9"/>
      <color rgb="FF888888"/>
      <name val="Cambria"/>
      <family val="0"/>
      <charset val="1"/>
    </font>
    <font>
      <sz val="10"/>
      <name val="Arial"/>
      <family val="2"/>
    </font>
    <font>
      <b val="true"/>
      <sz val="10"/>
      <name val="Cambria"/>
      <family val="0"/>
      <charset val="1"/>
    </font>
    <font>
      <sz val="10"/>
      <name val="Cambria"/>
      <family val="0"/>
      <charset val="1"/>
    </font>
    <font>
      <i val="true"/>
      <sz val="10"/>
      <name val="Cambria"/>
      <family val="0"/>
      <charset val="1"/>
    </font>
    <font>
      <sz val="10"/>
      <color rgb="FF000000"/>
      <name val="Cambria"/>
      <family val="0"/>
      <charset val="1"/>
    </font>
    <font>
      <sz val="10"/>
      <color rgb="FFFF0000"/>
      <name val="Cambria"/>
      <family val="0"/>
      <charset val="1"/>
    </font>
    <font>
      <sz val="11"/>
      <color rgb="FF000000"/>
      <name val="Cambria"/>
      <family val="0"/>
      <charset val="1"/>
    </font>
    <font>
      <b val="true"/>
      <sz val="10"/>
      <color rgb="FF000000"/>
      <name val="Cambria"/>
      <family val="0"/>
      <charset val="1"/>
    </font>
    <font>
      <i val="true"/>
      <sz val="10"/>
      <color rgb="FF000000"/>
      <name val="Cambria"/>
      <family val="0"/>
      <charset val="1"/>
    </font>
    <font>
      <sz val="10"/>
      <name val="Arial"/>
      <family val="0"/>
      <charset val="1"/>
    </font>
    <font>
      <sz val="11"/>
      <color rgb="FF000000"/>
      <name val="Inconsolata"/>
      <family val="0"/>
      <charset val="1"/>
    </font>
    <font>
      <i val="true"/>
      <sz val="10"/>
      <color rgb="FFB7B7B7"/>
      <name val="Cambria"/>
      <family val="0"/>
      <charset val="1"/>
    </font>
    <font>
      <i val="true"/>
      <sz val="11"/>
      <name val="Cambria"/>
      <family val="0"/>
      <charset val="1"/>
    </font>
    <font>
      <i val="true"/>
      <sz val="10"/>
      <color rgb="FF000000"/>
      <name val="Inconsolata"/>
      <family val="0"/>
      <charset val="1"/>
    </font>
    <font>
      <i val="true"/>
      <sz val="10"/>
      <color rgb="FFB7B7B7"/>
      <name val="Inconsolata"/>
      <family val="0"/>
      <charset val="1"/>
    </font>
    <font>
      <sz val="11"/>
      <name val="Arial"/>
      <family val="0"/>
      <charset val="1"/>
    </font>
    <font>
      <b val="true"/>
      <sz val="11"/>
      <name val="Cambria"/>
      <family val="0"/>
      <charset val="1"/>
    </font>
    <font>
      <i val="true"/>
      <sz val="11"/>
      <color rgb="FFB7B7B7"/>
      <name val="Cambria"/>
      <family val="0"/>
      <charset val="1"/>
    </font>
    <font>
      <b val="true"/>
      <i val="true"/>
      <sz val="10"/>
      <color rgb="FFFF00FF"/>
      <name val="Inconsolata"/>
      <family val="0"/>
      <charset val="1"/>
    </font>
    <font>
      <sz val="11"/>
      <color rgb="FFD9D9D9"/>
      <name val="Cambria"/>
      <family val="0"/>
      <charset val="1"/>
    </font>
    <font>
      <i val="true"/>
      <sz val="10"/>
      <color rgb="FF000000"/>
      <name val="Arial"/>
      <family val="0"/>
      <charset val="1"/>
    </font>
    <font>
      <sz val="14"/>
      <name val="Cambria"/>
      <family val="0"/>
      <charset val="1"/>
    </font>
    <font>
      <b val="true"/>
      <sz val="10"/>
      <color rgb="FF674EA7"/>
      <name val="Arial"/>
      <family val="0"/>
      <charset val="1"/>
    </font>
    <font>
      <b val="true"/>
      <sz val="10"/>
      <color rgb="FF000000"/>
      <name val="Arial"/>
      <family val="0"/>
      <charset val="1"/>
    </font>
    <font>
      <b val="true"/>
      <sz val="10"/>
      <name val="Arial"/>
      <family val="0"/>
      <charset val="1"/>
    </font>
    <font>
      <i val="true"/>
      <sz val="10"/>
      <name val="Arial"/>
      <family val="0"/>
      <charset val="1"/>
    </font>
    <font>
      <b val="true"/>
      <sz val="10"/>
      <color rgb="FF674EA7"/>
      <name val="Cambria"/>
      <family val="0"/>
      <charset val="1"/>
    </font>
    <font>
      <b val="true"/>
      <i val="true"/>
      <sz val="10"/>
      <color rgb="FF674EA7"/>
      <name val="Cambria"/>
      <family val="0"/>
      <charset val="1"/>
    </font>
    <font>
      <b val="true"/>
      <sz val="11"/>
      <color rgb="FF000000"/>
      <name val="Arial"/>
      <family val="0"/>
      <charset val="1"/>
    </font>
    <font>
      <sz val="11"/>
      <color rgb="FF000000"/>
      <name val="Arial"/>
      <family val="0"/>
      <charset val="1"/>
    </font>
    <font>
      <i val="true"/>
      <sz val="10"/>
      <color rgb="FF666666"/>
      <name val="Arial"/>
      <family val="0"/>
      <charset val="1"/>
    </font>
    <font>
      <sz val="10"/>
      <color rgb="FFB7B7B7"/>
      <name val="Arial"/>
      <family val="0"/>
      <charset val="1"/>
    </font>
    <font>
      <sz val="10"/>
      <color rgb="FF666666"/>
      <name val="Arial"/>
      <family val="0"/>
      <charset val="1"/>
    </font>
    <font>
      <b val="true"/>
      <i val="true"/>
      <sz val="10"/>
      <name val="Arial"/>
      <family val="0"/>
      <charset val="1"/>
    </font>
    <font>
      <b val="true"/>
      <sz val="11"/>
      <color rgb="FF000000"/>
      <name val="Inconsolata"/>
      <family val="0"/>
      <charset val="1"/>
    </font>
  </fonts>
  <fills count="12">
    <fill>
      <patternFill patternType="none"/>
    </fill>
    <fill>
      <patternFill patternType="gray125"/>
    </fill>
    <fill>
      <patternFill patternType="solid">
        <fgColor rgb="FF6FA8DC"/>
        <bgColor rgb="FF6D9EEB"/>
      </patternFill>
    </fill>
    <fill>
      <patternFill patternType="solid">
        <fgColor rgb="FFCFE2F3"/>
        <bgColor rgb="FFD9D9D9"/>
      </patternFill>
    </fill>
    <fill>
      <patternFill patternType="solid">
        <fgColor rgb="FFEFEFEF"/>
        <bgColor rgb="FFF3F3F3"/>
      </patternFill>
    </fill>
    <fill>
      <patternFill patternType="solid">
        <fgColor rgb="FFF3F3F3"/>
        <bgColor rgb="FFEFEFEF"/>
      </patternFill>
    </fill>
    <fill>
      <patternFill patternType="solid">
        <fgColor rgb="FFFFF2CC"/>
        <bgColor rgb="FFF3F3F3"/>
      </patternFill>
    </fill>
    <fill>
      <patternFill patternType="solid">
        <fgColor rgb="FFFFE3EF"/>
        <bgColor rgb="FFEFEFEF"/>
      </patternFill>
    </fill>
    <fill>
      <patternFill patternType="solid">
        <fgColor rgb="FFFFFFFF"/>
        <bgColor rgb="FFF3F3F3"/>
      </patternFill>
    </fill>
    <fill>
      <patternFill patternType="solid">
        <fgColor rgb="FFD9D9D9"/>
        <bgColor rgb="FFCFE2F3"/>
      </patternFill>
    </fill>
    <fill>
      <patternFill patternType="solid">
        <fgColor rgb="FF93C47D"/>
        <bgColor rgb="FFB7B7B7"/>
      </patternFill>
    </fill>
    <fill>
      <patternFill patternType="solid">
        <fgColor rgb="FF6D9EEB"/>
        <bgColor rgb="FF6FA8DC"/>
      </patternFill>
    </fill>
  </fills>
  <borders count="20">
    <border diagonalUp="false" diagonalDown="false">
      <left/>
      <right/>
      <top/>
      <bottom/>
      <diagonal/>
    </border>
    <border diagonalUp="false" diagonalDown="false">
      <left/>
      <right/>
      <top/>
      <bottom style="medium">
        <color rgb="FF3D85C6"/>
      </bottom>
      <diagonal/>
    </border>
    <border diagonalUp="false" diagonalDown="false">
      <left style="medium">
        <color rgb="FF3D85C6"/>
      </left>
      <right/>
      <top/>
      <bottom style="medium">
        <color rgb="FF3D85C6"/>
      </bottom>
      <diagonal/>
    </border>
    <border diagonalUp="false" diagonalDown="false">
      <left style="medium">
        <color rgb="FF3D85C6"/>
      </left>
      <right/>
      <top/>
      <bottom/>
      <diagonal/>
    </border>
    <border diagonalUp="false" diagonalDown="false">
      <left style="medium">
        <color rgb="FF434343"/>
      </left>
      <right style="medium">
        <color rgb="FF434343"/>
      </right>
      <top style="medium">
        <color rgb="FF434343"/>
      </top>
      <bottom style="thin">
        <color rgb="FFB7B7B7"/>
      </bottom>
      <diagonal/>
    </border>
    <border diagonalUp="false" diagonalDown="false">
      <left style="medium">
        <color rgb="FF434343"/>
      </left>
      <right style="medium">
        <color rgb="FF434343"/>
      </right>
      <top style="medium">
        <color rgb="FF434343"/>
      </top>
      <bottom/>
      <diagonal/>
    </border>
    <border diagonalUp="false" diagonalDown="false">
      <left style="medium"/>
      <right style="medium"/>
      <top style="thin">
        <color rgb="FFFFFFFF"/>
      </top>
      <bottom style="thin">
        <color rgb="FFB7B7B7"/>
      </bottom>
      <diagonal/>
    </border>
    <border diagonalUp="false" diagonalDown="false">
      <left style="medium">
        <color rgb="FF434343"/>
      </left>
      <right/>
      <top/>
      <bottom/>
      <diagonal/>
    </border>
    <border diagonalUp="false" diagonalDown="false">
      <left/>
      <right style="medium"/>
      <top/>
      <bottom/>
      <diagonal/>
    </border>
    <border diagonalUp="false" diagonalDown="false">
      <left style="medium">
        <color rgb="FF434343"/>
      </left>
      <right style="medium">
        <color rgb="FF434343"/>
      </right>
      <top/>
      <bottom style="medium">
        <color rgb="FF434343"/>
      </bottom>
      <diagonal/>
    </border>
    <border diagonalUp="false" diagonalDown="false">
      <left style="medium"/>
      <right style="medium"/>
      <top/>
      <bottom/>
      <diagonal/>
    </border>
    <border diagonalUp="false" diagonalDown="false">
      <left/>
      <right style="medium">
        <color rgb="FF434343"/>
      </right>
      <top/>
      <bottom/>
      <diagonal/>
    </border>
    <border diagonalUp="false" diagonalDown="false">
      <left style="medium"/>
      <right/>
      <top/>
      <bottom/>
      <diagonal/>
    </border>
    <border diagonalUp="false" diagonalDown="false">
      <left style="thin">
        <color rgb="FFFFFFFF"/>
      </left>
      <right style="medium"/>
      <top/>
      <bottom/>
      <diagonal/>
    </border>
    <border diagonalUp="false" diagonalDown="false">
      <left style="medium">
        <color rgb="FF434343"/>
      </left>
      <right/>
      <top/>
      <bottom style="medium">
        <color rgb="FF434343"/>
      </bottom>
      <diagonal/>
    </border>
    <border diagonalUp="false" diagonalDown="false">
      <left/>
      <right/>
      <top/>
      <bottom style="medium">
        <color rgb="FF434343"/>
      </bottom>
      <diagonal/>
    </border>
    <border diagonalUp="false" diagonalDown="false">
      <left/>
      <right style="medium">
        <color rgb="FF434343"/>
      </right>
      <top/>
      <bottom style="medium">
        <color rgb="FF434343"/>
      </bottom>
      <diagonal/>
    </border>
    <border diagonalUp="false" diagonalDown="false">
      <left/>
      <right/>
      <top style="medium"/>
      <bottom/>
      <diagonal/>
    </border>
    <border diagonalUp="false" diagonalDown="false">
      <left style="medium">
        <color rgb="FF434343"/>
      </left>
      <right style="medium"/>
      <top/>
      <bottom style="medium"/>
      <diagonal/>
    </border>
    <border diagonalUp="false" diagonalDown="false">
      <left/>
      <right style="medium">
        <color rgb="FF434343"/>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6" fillId="3" borderId="0" xfId="0" applyFont="true" applyBorder="false" applyAlignment="true" applyProtection="true">
      <alignment horizontal="general" vertical="center" textRotation="0" wrapText="true" indent="0" shrinkToFit="false"/>
      <protection locked="true" hidden="false"/>
    </xf>
    <xf numFmtId="164" fontId="4" fillId="2" borderId="3"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left" vertical="bottom" textRotation="0" wrapText="true" indent="0" shrinkToFit="false"/>
      <protection locked="true" hidden="false"/>
    </xf>
    <xf numFmtId="164" fontId="6" fillId="2" borderId="0" xfId="0" applyFont="true" applyBorder="fals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1" fillId="4" borderId="0"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11" fillId="6" borderId="0" xfId="0" applyFont="true" applyBorder="true" applyAlignment="true" applyProtection="true">
      <alignment horizontal="center" vertical="center" textRotation="0" wrapText="true" indent="0" shrinkToFit="false"/>
      <protection locked="true" hidden="false"/>
    </xf>
    <xf numFmtId="164" fontId="12" fillId="7"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5" fontId="12" fillId="0" borderId="0" xfId="0" applyFont="true" applyBorder="false" applyAlignment="true" applyProtection="true">
      <alignment horizontal="center" vertical="center" textRotation="0" wrapText="false" indent="0" shrinkToFit="false"/>
      <protection locked="true" hidden="false"/>
    </xf>
    <xf numFmtId="165" fontId="12"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true" applyAlignment="true" applyProtection="true">
      <alignment horizontal="left" vertical="center" textRotation="0" wrapText="true" indent="0" shrinkToFit="false"/>
      <protection locked="true" hidden="false"/>
    </xf>
    <xf numFmtId="164" fontId="14" fillId="7" borderId="0" xfId="0" applyFont="true" applyBorder="true" applyAlignment="true" applyProtection="true">
      <alignment horizontal="center" vertical="center" textRotation="0" wrapText="true" indent="0" shrinkToFit="false"/>
      <protection locked="true" hidden="false"/>
    </xf>
    <xf numFmtId="164" fontId="15" fillId="8" borderId="0" xfId="0" applyFont="true" applyBorder="true" applyAlignment="true" applyProtection="true">
      <alignment horizontal="left" vertical="center" textRotation="0" wrapText="true" indent="0" shrinkToFit="false"/>
      <protection locked="true" hidden="false"/>
    </xf>
    <xf numFmtId="164" fontId="16" fillId="4"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true" applyAlignment="true" applyProtection="true">
      <alignment horizontal="center" vertical="center" textRotation="0" wrapText="true" indent="0" shrinkToFit="false"/>
      <protection locked="true" hidden="false"/>
    </xf>
    <xf numFmtId="164" fontId="14" fillId="8" borderId="0" xfId="0" applyFont="true" applyBorder="false" applyAlignment="true" applyProtection="true">
      <alignment horizontal="left" vertical="center" textRotation="0" wrapText="true" indent="0" shrinkToFit="false"/>
      <protection locked="true" hidden="false"/>
    </xf>
    <xf numFmtId="164" fontId="14" fillId="8" borderId="0" xfId="0" applyFont="true" applyBorder="true" applyAlignment="true" applyProtection="true">
      <alignment horizontal="center" vertical="center" textRotation="0" wrapText="true" indent="0" shrinkToFit="false"/>
      <protection locked="true" hidden="false"/>
    </xf>
    <xf numFmtId="164" fontId="11" fillId="9" borderId="0" xfId="0" applyFont="true" applyBorder="true" applyAlignment="true" applyProtection="true">
      <alignment horizontal="center" vertical="center" textRotation="0" wrapText="true" indent="0" shrinkToFit="false"/>
      <protection locked="true" hidden="false"/>
    </xf>
    <xf numFmtId="164" fontId="17" fillId="9" borderId="0" xfId="0" applyFont="true" applyBorder="false" applyAlignment="true" applyProtection="true">
      <alignment horizontal="center" vertical="center" textRotation="0" wrapText="true" indent="0" shrinkToFit="false"/>
      <protection locked="true" hidden="false"/>
    </xf>
    <xf numFmtId="164" fontId="18" fillId="9" borderId="0" xfId="0" applyFont="true" applyBorder="true" applyAlignment="true" applyProtection="true">
      <alignment horizontal="center" vertical="center" textRotation="0" wrapText="true" indent="0" shrinkToFit="false"/>
      <protection locked="true" hidden="false"/>
    </xf>
    <xf numFmtId="164" fontId="12" fillId="5" borderId="0" xfId="0" applyFont="true" applyBorder="true" applyAlignment="true" applyProtection="true">
      <alignment horizontal="left" vertical="center" textRotation="0" wrapText="true" indent="0" shrinkToFit="false"/>
      <protection locked="true" hidden="false"/>
    </xf>
    <xf numFmtId="164" fontId="11" fillId="5" borderId="0" xfId="0" applyFont="true" applyBorder="false" applyAlignment="true" applyProtection="true">
      <alignment horizontal="center" vertical="center" textRotation="0" wrapText="true" indent="0" shrinkToFit="false"/>
      <protection locked="true" hidden="false"/>
    </xf>
    <xf numFmtId="164" fontId="12" fillId="5" borderId="0" xfId="0" applyFont="true" applyBorder="false" applyAlignment="true" applyProtection="true">
      <alignment horizontal="left" vertical="center" textRotation="0" wrapText="true" indent="0" shrinkToFit="false"/>
      <protection locked="true" hidden="false"/>
    </xf>
    <xf numFmtId="164" fontId="12" fillId="7"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0" fillId="8" borderId="0" xfId="0" applyFont="true" applyBorder="false" applyAlignment="true" applyProtection="true">
      <alignment horizontal="general" vertical="center" textRotation="0" wrapText="true" indent="0" shrinkToFit="false"/>
      <protection locked="true" hidden="false"/>
    </xf>
    <xf numFmtId="164" fontId="0" fillId="8" borderId="0" xfId="0" applyFont="true" applyBorder="false" applyAlignment="true" applyProtection="true">
      <alignment horizontal="left" vertical="center" textRotation="0" wrapText="true" indent="0" shrinkToFit="false"/>
      <protection locked="true" hidden="false"/>
    </xf>
    <xf numFmtId="164" fontId="20" fillId="8"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9" borderId="0" xfId="0" applyFont="true" applyBorder="true" applyAlignment="true" applyProtection="true">
      <alignment horizontal="center" vertical="center" textRotation="0" wrapText="true" indent="0" shrinkToFit="false"/>
      <protection locked="true" hidden="false"/>
    </xf>
    <xf numFmtId="164" fontId="21" fillId="9" borderId="0" xfId="0" applyFont="true" applyBorder="false" applyAlignment="true" applyProtection="true">
      <alignment horizontal="center" vertical="center" textRotation="0" wrapText="true" indent="0" shrinkToFit="false"/>
      <protection locked="true" hidden="false"/>
    </xf>
    <xf numFmtId="164" fontId="11" fillId="9" borderId="0" xfId="0" applyFont="true" applyBorder="fals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12" fillId="5" borderId="0"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12" fillId="9" borderId="0" xfId="0" applyFont="true" applyBorder="false" applyAlignment="true" applyProtection="true">
      <alignment horizontal="center" vertical="center" textRotation="0" wrapText="false" indent="0" shrinkToFit="false"/>
      <protection locked="true" hidden="false"/>
    </xf>
    <xf numFmtId="164" fontId="12" fillId="9" borderId="0" xfId="0" applyFont="true" applyBorder="false" applyAlignment="true" applyProtection="true">
      <alignment horizontal="center" vertical="center" textRotation="0" wrapText="true" indent="0" shrinkToFit="false"/>
      <protection locked="true" hidden="false"/>
    </xf>
    <xf numFmtId="164" fontId="12" fillId="5" borderId="0" xfId="0" applyFont="true" applyBorder="false" applyAlignment="true" applyProtection="true">
      <alignment horizontal="center" vertical="center" textRotation="0" wrapText="false" indent="0" shrinkToFit="false"/>
      <protection locked="true" hidden="false"/>
    </xf>
    <xf numFmtId="164" fontId="12" fillId="5"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23" fillId="9" borderId="0" xfId="0" applyFont="true" applyBorder="true" applyAlignment="true" applyProtection="true">
      <alignment horizontal="center" vertical="center" textRotation="0" wrapText="true" indent="0" shrinkToFit="false"/>
      <protection locked="true" hidden="false"/>
    </xf>
    <xf numFmtId="164" fontId="24" fillId="9" borderId="0" xfId="0" applyFont="true" applyBorder="false" applyAlignment="true" applyProtection="true">
      <alignment horizontal="center" vertical="center" textRotation="0" wrapText="true" indent="0" shrinkToFit="false"/>
      <protection locked="true" hidden="false"/>
    </xf>
    <xf numFmtId="164" fontId="8" fillId="7" borderId="0" xfId="0" applyFont="true" applyBorder="tru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4" fontId="25" fillId="0" borderId="0" xfId="0" applyFont="true" applyBorder="false" applyAlignment="true" applyProtection="true">
      <alignment horizontal="left" vertical="center"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18" fillId="8" borderId="0" xfId="0" applyFont="true" applyBorder="false" applyAlignment="true" applyProtection="true">
      <alignment horizontal="center" vertical="center" textRotation="0" wrapText="true" indent="0" shrinkToFit="false"/>
      <protection locked="true" hidden="false"/>
    </xf>
    <xf numFmtId="164" fontId="14" fillId="8" borderId="0" xfId="0" applyFont="true" applyBorder="true" applyAlignment="true" applyProtection="true">
      <alignment horizontal="left" vertical="center" textRotation="0" wrapText="true" indent="0" shrinkToFit="false"/>
      <protection locked="true" hidden="false"/>
    </xf>
    <xf numFmtId="164" fontId="26" fillId="5" borderId="0" xfId="0" applyFont="true" applyBorder="false" applyAlignment="true" applyProtection="true">
      <alignment horizontal="center" vertical="center" textRotation="0" wrapText="true" indent="0" shrinkToFit="false"/>
      <protection locked="true" hidden="false"/>
    </xf>
    <xf numFmtId="164" fontId="8" fillId="5" borderId="0" xfId="0" applyFont="true" applyBorder="true" applyAlignment="true" applyProtection="true">
      <alignment horizontal="center" vertical="center" textRotation="0" wrapText="true" indent="0" shrinkToFit="false"/>
      <protection locked="true" hidden="false"/>
    </xf>
    <xf numFmtId="164" fontId="8" fillId="5"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4" fontId="0" fillId="8" borderId="0" xfId="0" applyFont="true" applyBorder="false" applyAlignment="true" applyProtection="true">
      <alignment horizontal="left" vertical="bottom" textRotation="0" wrapText="true" indent="0" shrinkToFit="false"/>
      <protection locked="true" hidden="false"/>
    </xf>
    <xf numFmtId="164" fontId="8" fillId="9" borderId="0" xfId="0" applyFont="true" applyBorder="false" applyAlignment="true" applyProtection="true">
      <alignment horizontal="center" vertical="bottom" textRotation="0" wrapText="false" indent="0" shrinkToFit="false"/>
      <protection locked="true" hidden="false"/>
    </xf>
    <xf numFmtId="164" fontId="26" fillId="9" borderId="0" xfId="0" applyFont="true" applyBorder="true" applyAlignment="true" applyProtection="true">
      <alignment horizontal="center" vertical="center" textRotation="0" wrapText="true" indent="0" shrinkToFit="false"/>
      <protection locked="true" hidden="false"/>
    </xf>
    <xf numFmtId="164" fontId="22" fillId="9" borderId="0" xfId="0" applyFont="true" applyBorder="true" applyAlignment="true" applyProtection="true">
      <alignment horizontal="center" vertical="center" textRotation="0" wrapText="true" indent="0" shrinkToFit="false"/>
      <protection locked="true" hidden="false"/>
    </xf>
    <xf numFmtId="164" fontId="27" fillId="9" borderId="0" xfId="0" applyFont="true" applyBorder="false" applyAlignment="true" applyProtection="true">
      <alignment horizontal="center" vertical="center" textRotation="0" wrapText="true" indent="0" shrinkToFit="false"/>
      <protection locked="true" hidden="false"/>
    </xf>
    <xf numFmtId="164" fontId="26" fillId="9"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26" fillId="9" borderId="4"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26" fillId="10" borderId="5" xfId="0" applyFont="true" applyBorder="true" applyAlignment="true" applyProtection="true">
      <alignment horizontal="center" vertical="center" textRotation="0" wrapText="false" indent="0" shrinkToFit="false"/>
      <protection locked="true" hidden="false"/>
    </xf>
    <xf numFmtId="164" fontId="11" fillId="9" borderId="6"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general" vertical="bottom" textRotation="0" wrapText="false" indent="0" shrinkToFit="false"/>
      <protection locked="true" hidden="false"/>
    </xf>
    <xf numFmtId="164" fontId="0" fillId="8" borderId="8" xfId="0" applyFont="false" applyBorder="true" applyAlignment="true" applyProtection="true">
      <alignment horizontal="general" vertical="bottom" textRotation="0" wrapText="true" indent="0" shrinkToFit="false"/>
      <protection locked="true" hidden="false"/>
    </xf>
    <xf numFmtId="164" fontId="8" fillId="0" borderId="9" xfId="0" applyFont="true" applyBorder="true" applyAlignment="true" applyProtection="true">
      <alignment horizontal="general"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true" indent="0" shrinkToFit="false"/>
      <protection locked="true" hidden="false"/>
    </xf>
    <xf numFmtId="164" fontId="8" fillId="0" borderId="11" xfId="0" applyFont="true" applyBorder="true" applyAlignment="true" applyProtection="true">
      <alignment horizontal="general" vertical="bottom" textRotation="0" wrapText="true" indent="0" shrinkToFit="false"/>
      <protection locked="true" hidden="false"/>
    </xf>
    <xf numFmtId="164" fontId="12" fillId="0" borderId="12" xfId="0" applyFont="true" applyBorder="true" applyAlignment="true" applyProtection="true">
      <alignment horizontal="left" vertical="top" textRotation="0" wrapText="true" indent="0" shrinkToFit="false"/>
      <protection locked="true" hidden="false"/>
    </xf>
    <xf numFmtId="164" fontId="12" fillId="0" borderId="13" xfId="0" applyFont="true" applyBorder="true" applyAlignment="true" applyProtection="true">
      <alignment horizontal="general" vertical="top" textRotation="0" wrapText="true" indent="0" shrinkToFit="false"/>
      <protection locked="true" hidden="false"/>
    </xf>
    <xf numFmtId="164" fontId="28" fillId="8" borderId="12" xfId="0" applyFont="true" applyBorder="true" applyAlignment="true" applyProtection="true">
      <alignment horizontal="left" vertical="top" textRotation="0" wrapText="true" indent="0" shrinkToFit="false"/>
      <protection locked="true" hidden="false"/>
    </xf>
    <xf numFmtId="164" fontId="8" fillId="0" borderId="14" xfId="0" applyFont="true" applyBorder="true" applyAlignment="true" applyProtection="true">
      <alignment horizontal="general" vertical="bottom" textRotation="0" wrapText="false" indent="0" shrinkToFit="false"/>
      <protection locked="true" hidden="false"/>
    </xf>
    <xf numFmtId="164" fontId="8" fillId="0" borderId="15" xfId="0" applyFont="true" applyBorder="true" applyAlignment="true" applyProtection="true">
      <alignment horizontal="general" vertical="center" textRotation="0" wrapText="false" indent="0" shrinkToFit="false"/>
      <protection locked="true" hidden="false"/>
    </xf>
    <xf numFmtId="164" fontId="8" fillId="0" borderId="16" xfId="0" applyFont="true" applyBorder="tru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30" fillId="8" borderId="12" xfId="0" applyFont="true" applyBorder="true" applyAlignment="true" applyProtection="true">
      <alignment horizontal="left" vertical="top" textRotation="0" wrapText="true" indent="0" shrinkToFit="false"/>
      <protection locked="true" hidden="false"/>
    </xf>
    <xf numFmtId="164" fontId="0" fillId="8" borderId="12" xfId="0" applyFont="true" applyBorder="true" applyAlignment="true" applyProtection="true">
      <alignment horizontal="general" vertical="top" textRotation="0" wrapText="true" indent="0" shrinkToFit="false"/>
      <protection locked="true" hidden="false"/>
    </xf>
    <xf numFmtId="164" fontId="12" fillId="0" borderId="8" xfId="0" applyFont="true" applyBorder="true" applyAlignment="true" applyProtection="true">
      <alignment horizontal="general" vertical="top" textRotation="0" wrapText="true" indent="0" shrinkToFit="false"/>
      <protection locked="true" hidden="false"/>
    </xf>
    <xf numFmtId="164" fontId="31" fillId="0" borderId="9" xfId="0" applyFont="true" applyBorder="true" applyAlignment="true" applyProtection="true">
      <alignment horizontal="center" vertical="center" textRotation="0" wrapText="false" indent="0" shrinkToFit="false"/>
      <protection locked="true" hidden="false"/>
    </xf>
    <xf numFmtId="164" fontId="0" fillId="8" borderId="17" xfId="0" applyFont="false" applyBorder="true" applyAlignment="true" applyProtection="true">
      <alignment horizontal="general" vertical="top" textRotation="0" wrapText="true" indent="0" shrinkToFit="false"/>
      <protection locked="true" hidden="false"/>
    </xf>
    <xf numFmtId="164" fontId="8" fillId="0" borderId="0" xfId="0" applyFont="true" applyBorder="true" applyAlignment="true" applyProtection="true">
      <alignment horizontal="right"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4" fontId="32" fillId="9" borderId="0"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false" applyAlignment="true" applyProtection="true">
      <alignment horizontal="center" vertical="center" textRotation="0" wrapText="false" indent="0" shrinkToFit="false"/>
      <protection locked="true" hidden="false"/>
    </xf>
    <xf numFmtId="164" fontId="26" fillId="11" borderId="5" xfId="0" applyFont="true" applyBorder="true" applyAlignment="true" applyProtection="true">
      <alignment horizontal="center" vertical="center" textRotation="0" wrapText="true" indent="0" shrinkToFit="false"/>
      <protection locked="true" hidden="false"/>
    </xf>
    <xf numFmtId="164" fontId="34" fillId="4"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3" fillId="4"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8" fillId="0" borderId="18" xfId="0" applyFont="true" applyBorder="tru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true" indent="0" shrinkToFit="false"/>
      <protection locked="true" hidden="false"/>
    </xf>
    <xf numFmtId="164" fontId="35" fillId="8" borderId="0" xfId="0" applyFont="true" applyBorder="fals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36" fillId="9" borderId="0" xfId="0" applyFont="true" applyBorder="false" applyAlignment="true" applyProtection="true">
      <alignment horizontal="center" vertical="center" textRotation="0" wrapText="false" indent="0" shrinkToFit="false"/>
      <protection locked="true" hidden="false"/>
    </xf>
    <xf numFmtId="164" fontId="37" fillId="9" borderId="0" xfId="0" applyFont="true" applyBorder="false" applyAlignment="true" applyProtection="true">
      <alignment horizontal="center" vertical="center" textRotation="0" wrapText="false" indent="0" shrinkToFit="false"/>
      <protection locked="true" hidden="false"/>
    </xf>
    <xf numFmtId="164" fontId="32" fillId="9" borderId="0" xfId="0" applyFont="true" applyBorder="false" applyAlignment="true" applyProtection="true">
      <alignment horizontal="center" vertical="center" textRotation="0" wrapText="false" indent="0" shrinkToFit="false"/>
      <protection locked="true" hidden="false"/>
    </xf>
    <xf numFmtId="164" fontId="34" fillId="0" borderId="0"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38" fillId="8" borderId="0" xfId="0" applyFont="true" applyBorder="false" applyAlignment="true" applyProtection="true">
      <alignment horizontal="general" vertical="bottom" textRotation="0" wrapText="false" indent="0" shrinkToFit="false"/>
      <protection locked="true" hidden="false"/>
    </xf>
    <xf numFmtId="164" fontId="20" fillId="8" borderId="8"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left" vertical="bottom" textRotation="0" wrapText="false" indent="0" shrinkToFit="false"/>
      <protection locked="true" hidden="false"/>
    </xf>
    <xf numFmtId="164" fontId="39" fillId="8" borderId="0" xfId="0" applyFont="true" applyBorder="false" applyAlignment="true" applyProtection="true">
      <alignment horizontal="general" vertical="bottom" textRotation="0" wrapText="false" indent="0" shrinkToFit="false"/>
      <protection locked="true" hidden="false"/>
    </xf>
    <xf numFmtId="164" fontId="8" fillId="0" borderId="15" xfId="0" applyFont="true" applyBorder="true" applyAlignment="true" applyProtection="true">
      <alignment horizontal="general" vertical="bottom" textRotation="0" wrapText="false" indent="0" shrinkToFit="false"/>
      <protection locked="true" hidden="false"/>
    </xf>
    <xf numFmtId="164" fontId="25" fillId="0" borderId="15" xfId="0" applyFont="true" applyBorder="true" applyAlignment="true" applyProtection="true">
      <alignment horizontal="general" vertical="bottom" textRotation="0" wrapText="false" indent="0" shrinkToFit="false"/>
      <protection locked="true" hidden="false"/>
    </xf>
    <xf numFmtId="164" fontId="8" fillId="0" borderId="19" xfId="0" applyFont="true" applyBorder="true" applyAlignment="true" applyProtection="true">
      <alignment horizontal="left" vertical="bottom"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12" fillId="8" borderId="0" xfId="0" applyFont="true" applyBorder="false" applyAlignment="true" applyProtection="true">
      <alignment horizontal="center" vertical="center" textRotation="0" wrapText="false" indent="0" shrinkToFit="false"/>
      <protection locked="true" hidden="false"/>
    </xf>
    <xf numFmtId="164" fontId="11" fillId="8"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26" fillId="7" borderId="0" xfId="0" applyFont="true" applyBorder="true" applyAlignment="true" applyProtection="true">
      <alignment horizontal="center" vertical="center" textRotation="90" wrapText="true" indent="0" shrinkToFit="false"/>
      <protection locked="true" hidden="false"/>
    </xf>
    <xf numFmtId="164" fontId="40" fillId="0" borderId="0" xfId="0" applyFont="true" applyBorder="false" applyAlignment="true" applyProtection="true">
      <alignment horizontal="general" vertical="bottom" textRotation="0" wrapText="true" indent="0" shrinkToFit="false"/>
      <protection locked="true" hidden="false"/>
    </xf>
    <xf numFmtId="164" fontId="40" fillId="8" borderId="0" xfId="0" applyFont="true" applyBorder="false" applyAlignment="true" applyProtection="true">
      <alignment horizontal="general" vertical="bottom" textRotation="0" wrapText="true" indent="0" shrinkToFit="false"/>
      <protection locked="true" hidden="false"/>
    </xf>
    <xf numFmtId="164" fontId="19" fillId="8"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34" fillId="9" borderId="0" xfId="0" applyFont="true" applyBorder="false" applyAlignment="true" applyProtection="true">
      <alignment horizontal="general" vertical="bottom" textRotation="0" wrapText="true" indent="0" shrinkToFit="false"/>
      <protection locked="true" hidden="false"/>
    </xf>
    <xf numFmtId="164" fontId="41" fillId="9" borderId="0" xfId="0" applyFont="true" applyBorder="false" applyAlignment="true" applyProtection="true">
      <alignment horizontal="general" vertical="bottom" textRotation="0" wrapText="true" indent="0" shrinkToFit="false"/>
      <protection locked="true" hidden="false"/>
    </xf>
    <xf numFmtId="164" fontId="42" fillId="9" borderId="0" xfId="0" applyFont="true" applyBorder="false" applyAlignment="true" applyProtection="true">
      <alignment horizontal="general" vertical="bottom" textRotation="0" wrapText="true" indent="0" shrinkToFit="false"/>
      <protection locked="true" hidden="false"/>
    </xf>
    <xf numFmtId="164" fontId="43" fillId="9" borderId="0" xfId="0" applyFont="true" applyBorder="false" applyAlignment="true" applyProtection="true">
      <alignment horizontal="general" vertical="bottom" textRotation="0" wrapText="true" indent="0" shrinkToFit="false"/>
      <protection locked="true" hidden="false"/>
    </xf>
    <xf numFmtId="164" fontId="34" fillId="8"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6" fillId="8" borderId="0" xfId="0" applyFont="true" applyBorder="false" applyAlignment="true" applyProtection="true">
      <alignment horizontal="center" vertical="center" textRotation="9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33" fillId="4"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1" fillId="5" borderId="0" xfId="0" applyFont="true" applyBorder="true" applyAlignment="true" applyProtection="true">
      <alignment horizontal="center" vertical="center" textRotation="0" wrapText="true" indent="0" shrinkToFit="false"/>
      <protection locked="true" hidden="false"/>
    </xf>
    <xf numFmtId="164" fontId="12" fillId="8"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true" applyAlignment="true" applyProtection="true">
      <alignment horizontal="right" vertical="bottom" textRotation="0" wrapText="true" indent="0" shrinkToFit="false"/>
      <protection locked="true" hidden="false"/>
    </xf>
    <xf numFmtId="164" fontId="44" fillId="8" borderId="0" xfId="0" applyFont="true" applyBorder="false" applyAlignment="true" applyProtection="true">
      <alignment horizontal="general" vertical="bottom" textRotation="0" wrapText="true" indent="0" shrinkToFit="false"/>
      <protection locked="true" hidden="false"/>
    </xf>
    <xf numFmtId="164" fontId="38" fillId="8"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F00FF"/>
        </patternFill>
      </fill>
    </dxf>
    <dxf>
      <font>
        <color rgb="FFD9EAD3"/>
      </font>
      <fill>
        <patternFill>
          <bgColor rgb="FF38761D"/>
        </patternFill>
      </fill>
    </dxf>
    <dxf>
      <fill>
        <patternFill>
          <bgColor rgb="FFE06666"/>
        </patternFill>
      </fill>
    </dxf>
    <dxf>
      <fill>
        <patternFill>
          <bgColor rgb="FF93C47D"/>
        </patternFill>
      </fill>
    </dxf>
    <dxf>
      <font>
        <b val="1"/>
        <i val="1"/>
        <color rgb="FF000000"/>
      </font>
      <fill>
        <patternFill>
          <bgColor rgb="FFFF00FF"/>
        </patternFill>
      </fill>
    </dxf>
    <dxf>
      <font>
        <i val="1"/>
      </font>
      <fill>
        <patternFill>
          <bgColor rgb="FFFFF2CC"/>
        </patternFill>
      </fill>
    </dxf>
    <dxf>
      <font>
        <i val="1"/>
        <color rgb="FFFF0000"/>
      </font>
      <fill>
        <patternFill>
          <bgColor rgb="FFFFE599"/>
        </patternFill>
      </fill>
    </dxf>
  </dxf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9900FF"/>
      <rgbColor rgb="FF008080"/>
      <rgbColor rgb="FFB7B7B7"/>
      <rgbColor rgb="FF888888"/>
      <rgbColor rgb="FF6D9EEB"/>
      <rgbColor rgb="FF993366"/>
      <rgbColor rgb="FFFFF2CC"/>
      <rgbColor rgb="FFEFEFEF"/>
      <rgbColor rgb="FF660066"/>
      <rgbColor rgb="FFE06666"/>
      <rgbColor rgb="FF0066CC"/>
      <rgbColor rgb="FFCFE2F3"/>
      <rgbColor rgb="FF000080"/>
      <rgbColor rgb="FFFF00FF"/>
      <rgbColor rgb="FFFFFF00"/>
      <rgbColor rgb="FF00FFFF"/>
      <rgbColor rgb="FF800080"/>
      <rgbColor rgb="FF800000"/>
      <rgbColor rgb="FF008080"/>
      <rgbColor rgb="FF0000FF"/>
      <rgbColor rgb="FF00CCFF"/>
      <rgbColor rgb="FFF3F3F3"/>
      <rgbColor rgb="FFD9EAD3"/>
      <rgbColor rgb="FFFFE3EF"/>
      <rgbColor rgb="FFD9D9D9"/>
      <rgbColor rgb="FFFF99CC"/>
      <rgbColor rgb="FFCC99FF"/>
      <rgbColor rgb="FFFFE599"/>
      <rgbColor rgb="FF3D85C6"/>
      <rgbColor rgb="FF33CCCC"/>
      <rgbColor rgb="FF93C47D"/>
      <rgbColor rgb="FFF1C232"/>
      <rgbColor rgb="FFFF9900"/>
      <rgbColor rgb="FFFF6600"/>
      <rgbColor rgb="FF666666"/>
      <rgbColor rgb="FF6FA8DC"/>
      <rgbColor rgb="FF073763"/>
      <rgbColor rgb="FF339966"/>
      <rgbColor rgb="FF003300"/>
      <rgbColor rgb="FF333300"/>
      <rgbColor rgb="FF993300"/>
      <rgbColor rgb="FF993366"/>
      <rgbColor rgb="FF674EA7"/>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00FF"/>
    <outlinePr summaryBelow="0"/>
    <pageSetUpPr fitToPage="true"/>
  </sheetPr>
  <dimension ref="A1:Q12"/>
  <sheetViews>
    <sheetView showFormulas="false" showGridLines="true" showRowColHeaders="true" showZeros="true" rightToLeft="false" tabSelected="false" showOutlineSymbols="true" defaultGridColor="true" view="normal" topLeftCell="C1" colorId="64" zoomScale="110" zoomScaleNormal="110" zoomScalePageLayoutView="100" workbookViewId="0">
      <selection pane="topLeft" activeCell="P2" activeCellId="0" sqref="P2"/>
    </sheetView>
  </sheetViews>
  <sheetFormatPr defaultColWidth="12.6328125" defaultRowHeight="15.75" customHeight="true" zeroHeight="false" outlineLevelRow="0" outlineLevelCol="0"/>
  <cols>
    <col collapsed="false" customWidth="true" hidden="false" outlineLevel="0" max="1" min="1" style="1" width="4.5"/>
    <col collapsed="false" customWidth="true" hidden="false" outlineLevel="0" max="2" min="2" style="1" width="29.25"/>
    <col collapsed="false" customWidth="true" hidden="false" outlineLevel="0" max="3" min="3" style="1" width="4.5"/>
    <col collapsed="false" customWidth="true" hidden="false" outlineLevel="0" max="4" min="4" style="1" width="29.25"/>
    <col collapsed="false" customWidth="true" hidden="false" outlineLevel="0" max="5" min="5" style="1" width="4.5"/>
    <col collapsed="false" customWidth="true" hidden="false" outlineLevel="0" max="6" min="6" style="1" width="29.25"/>
    <col collapsed="false" customWidth="true" hidden="false" outlineLevel="0" max="7" min="7" style="1" width="4.5"/>
    <col collapsed="false" customWidth="true" hidden="false" outlineLevel="0" max="8" min="8" style="1" width="29.25"/>
    <col collapsed="false" customWidth="true" hidden="false" outlineLevel="0" max="9" min="9" style="1" width="4.5"/>
    <col collapsed="false" customWidth="true" hidden="false" outlineLevel="0" max="10" min="10" style="1" width="29.25"/>
    <col collapsed="false" customWidth="true" hidden="false" outlineLevel="0" max="11" min="11" style="1" width="4.5"/>
    <col collapsed="false" customWidth="true" hidden="false" outlineLevel="0" max="12" min="12" style="1" width="29.25"/>
    <col collapsed="false" customWidth="true" hidden="false" outlineLevel="0" max="13" min="13" style="1" width="4.5"/>
    <col collapsed="false" customWidth="true" hidden="false" outlineLevel="0" max="14" min="14" style="1" width="28"/>
    <col collapsed="false" customWidth="true" hidden="false" outlineLevel="0" max="15" min="15" style="1" width="4.5"/>
    <col collapsed="false" customWidth="true" hidden="false" outlineLevel="0" max="16" min="16" style="1" width="29.25"/>
    <col collapsed="false" customWidth="true" hidden="false" outlineLevel="0" max="17" min="17" style="1" width="4.75"/>
  </cols>
  <sheetData>
    <row r="1" customFormat="false" ht="31.3" hidden="false" customHeight="false" outlineLevel="0" collapsed="false">
      <c r="A1" s="2" t="s">
        <v>0</v>
      </c>
      <c r="B1" s="3" t="s">
        <v>1</v>
      </c>
      <c r="C1" s="4" t="s">
        <v>0</v>
      </c>
      <c r="D1" s="3" t="s">
        <v>2</v>
      </c>
      <c r="E1" s="4" t="s">
        <v>0</v>
      </c>
      <c r="F1" s="3" t="s">
        <v>3</v>
      </c>
      <c r="G1" s="4" t="s">
        <v>0</v>
      </c>
      <c r="H1" s="3" t="s">
        <v>4</v>
      </c>
      <c r="I1" s="4" t="s">
        <v>0</v>
      </c>
      <c r="J1" s="3" t="s">
        <v>5</v>
      </c>
      <c r="K1" s="4" t="s">
        <v>0</v>
      </c>
      <c r="L1" s="3" t="s">
        <v>6</v>
      </c>
      <c r="M1" s="4" t="s">
        <v>0</v>
      </c>
      <c r="N1" s="3" t="s">
        <v>7</v>
      </c>
      <c r="O1" s="4" t="s">
        <v>0</v>
      </c>
      <c r="P1" s="3" t="s">
        <v>8</v>
      </c>
      <c r="Q1" s="5"/>
    </row>
    <row r="2" customFormat="false" ht="285.05" hidden="false" customHeight="false" outlineLevel="0" collapsed="false">
      <c r="A2" s="6" t="s">
        <v>9</v>
      </c>
      <c r="B2" s="7" t="s">
        <v>10</v>
      </c>
      <c r="C2" s="8" t="s">
        <v>9</v>
      </c>
      <c r="D2" s="7" t="s">
        <v>11</v>
      </c>
      <c r="E2" s="8" t="s">
        <v>9</v>
      </c>
      <c r="F2" s="7" t="s">
        <v>12</v>
      </c>
      <c r="G2" s="8" t="s">
        <v>9</v>
      </c>
      <c r="H2" s="7" t="s">
        <v>13</v>
      </c>
      <c r="I2" s="8" t="s">
        <v>9</v>
      </c>
      <c r="J2" s="7" t="s">
        <v>14</v>
      </c>
      <c r="K2" s="8" t="s">
        <v>9</v>
      </c>
      <c r="L2" s="7" t="s">
        <v>15</v>
      </c>
      <c r="M2" s="8" t="s">
        <v>9</v>
      </c>
      <c r="N2" s="7" t="s">
        <v>16</v>
      </c>
      <c r="O2" s="8" t="s">
        <v>9</v>
      </c>
      <c r="P2" s="9" t="s">
        <v>17</v>
      </c>
      <c r="Q2" s="10"/>
    </row>
    <row r="3" customFormat="false" ht="174.6" hidden="false" customHeight="true" outlineLevel="0" collapsed="false">
      <c r="A3" s="6" t="s">
        <v>18</v>
      </c>
      <c r="B3" s="7" t="s">
        <v>19</v>
      </c>
      <c r="C3" s="8" t="s">
        <v>18</v>
      </c>
      <c r="D3" s="7" t="s">
        <v>20</v>
      </c>
      <c r="E3" s="8" t="s">
        <v>18</v>
      </c>
      <c r="F3" s="7" t="s">
        <v>21</v>
      </c>
      <c r="G3" s="8" t="s">
        <v>18</v>
      </c>
      <c r="H3" s="7" t="s">
        <v>22</v>
      </c>
      <c r="I3" s="8" t="s">
        <v>18</v>
      </c>
      <c r="J3" s="9" t="s">
        <v>23</v>
      </c>
      <c r="K3" s="8" t="s">
        <v>18</v>
      </c>
      <c r="L3" s="7" t="s">
        <v>24</v>
      </c>
      <c r="M3" s="8" t="s">
        <v>18</v>
      </c>
      <c r="N3" s="7" t="s">
        <v>25</v>
      </c>
      <c r="O3" s="8" t="s">
        <v>18</v>
      </c>
      <c r="P3" s="7" t="s">
        <v>26</v>
      </c>
      <c r="Q3" s="10"/>
    </row>
    <row r="4" customFormat="false" ht="220.85" hidden="false" customHeight="true" outlineLevel="0" collapsed="false">
      <c r="A4" s="6"/>
      <c r="B4" s="7"/>
      <c r="C4" s="8" t="s">
        <v>27</v>
      </c>
      <c r="D4" s="7" t="s">
        <v>28</v>
      </c>
      <c r="E4" s="8"/>
      <c r="F4" s="7"/>
      <c r="G4" s="8" t="s">
        <v>27</v>
      </c>
      <c r="H4" s="7" t="s">
        <v>29</v>
      </c>
      <c r="I4" s="8" t="s">
        <v>27</v>
      </c>
      <c r="J4" s="9" t="s">
        <v>30</v>
      </c>
      <c r="K4" s="8" t="s">
        <v>27</v>
      </c>
      <c r="L4" s="7" t="s">
        <v>31</v>
      </c>
      <c r="M4" s="8" t="s">
        <v>27</v>
      </c>
      <c r="N4" s="7" t="s">
        <v>32</v>
      </c>
      <c r="O4" s="8" t="s">
        <v>27</v>
      </c>
      <c r="P4" s="7" t="s">
        <v>33</v>
      </c>
      <c r="Q4" s="10"/>
    </row>
    <row r="5" customFormat="false" ht="61.15" hidden="false" customHeight="false" outlineLevel="0" collapsed="false">
      <c r="A5" s="6"/>
      <c r="B5" s="7"/>
      <c r="C5" s="8" t="s">
        <v>34</v>
      </c>
      <c r="D5" s="7" t="s">
        <v>35</v>
      </c>
      <c r="E5" s="8"/>
      <c r="F5" s="7"/>
      <c r="G5" s="8" t="s">
        <v>36</v>
      </c>
      <c r="H5" s="7" t="s">
        <v>37</v>
      </c>
      <c r="I5" s="8" t="s">
        <v>34</v>
      </c>
      <c r="J5" s="7" t="s">
        <v>38</v>
      </c>
      <c r="K5" s="8" t="s">
        <v>34</v>
      </c>
      <c r="L5" s="7" t="s">
        <v>39</v>
      </c>
      <c r="M5" s="8"/>
      <c r="N5" s="11"/>
      <c r="O5" s="8" t="s">
        <v>34</v>
      </c>
      <c r="P5" s="7" t="s">
        <v>40</v>
      </c>
      <c r="Q5" s="10"/>
    </row>
    <row r="6" customFormat="false" ht="128.35" hidden="false" customHeight="true" outlineLevel="0" collapsed="false">
      <c r="A6" s="6"/>
      <c r="B6" s="7"/>
      <c r="C6" s="8" t="s">
        <v>41</v>
      </c>
      <c r="D6" s="7" t="s">
        <v>42</v>
      </c>
      <c r="E6" s="8"/>
      <c r="F6" s="7"/>
      <c r="G6" s="8"/>
      <c r="H6" s="7"/>
      <c r="I6" s="8" t="s">
        <v>41</v>
      </c>
      <c r="J6" s="7" t="s">
        <v>43</v>
      </c>
      <c r="K6" s="8"/>
      <c r="L6" s="7"/>
      <c r="M6" s="8"/>
      <c r="N6" s="7"/>
      <c r="O6" s="8" t="s">
        <v>41</v>
      </c>
      <c r="P6" s="7" t="s">
        <v>44</v>
      </c>
      <c r="Q6" s="10"/>
    </row>
    <row r="7" customFormat="false" ht="105.95" hidden="false" customHeight="false" outlineLevel="0" collapsed="false">
      <c r="A7" s="6"/>
      <c r="B7" s="7"/>
      <c r="C7" s="8" t="s">
        <v>45</v>
      </c>
      <c r="D7" s="7" t="s">
        <v>46</v>
      </c>
      <c r="E7" s="8"/>
      <c r="F7" s="7"/>
      <c r="G7" s="8"/>
      <c r="H7" s="7"/>
      <c r="I7" s="8" t="s">
        <v>45</v>
      </c>
      <c r="J7" s="7" t="s">
        <v>47</v>
      </c>
      <c r="K7" s="8"/>
      <c r="L7" s="7"/>
      <c r="M7" s="8"/>
      <c r="N7" s="7"/>
      <c r="O7" s="8" t="s">
        <v>45</v>
      </c>
      <c r="P7" s="7" t="s">
        <v>48</v>
      </c>
      <c r="Q7" s="10"/>
    </row>
    <row r="8" customFormat="false" ht="83.55" hidden="false" customHeight="true" outlineLevel="0" collapsed="false">
      <c r="A8" s="6"/>
      <c r="B8" s="7"/>
      <c r="C8" s="8"/>
      <c r="D8" s="7"/>
      <c r="E8" s="8"/>
      <c r="F8" s="7"/>
      <c r="G8" s="8"/>
      <c r="H8" s="7"/>
      <c r="I8" s="8"/>
      <c r="J8" s="7"/>
      <c r="K8" s="8"/>
      <c r="L8" s="7"/>
      <c r="M8" s="8"/>
      <c r="N8" s="7"/>
      <c r="O8" s="8" t="s">
        <v>49</v>
      </c>
      <c r="P8" s="7" t="s">
        <v>50</v>
      </c>
      <c r="Q8" s="10"/>
    </row>
    <row r="9" customFormat="false" ht="76.1" hidden="false" customHeight="false" outlineLevel="0" collapsed="false">
      <c r="A9" s="6"/>
      <c r="B9" s="7"/>
      <c r="C9" s="8"/>
      <c r="D9" s="7"/>
      <c r="E9" s="8"/>
      <c r="F9" s="7"/>
      <c r="G9" s="8"/>
      <c r="H9" s="7"/>
      <c r="I9" s="8"/>
      <c r="J9" s="7"/>
      <c r="K9" s="8"/>
      <c r="L9" s="7"/>
      <c r="M9" s="8"/>
      <c r="N9" s="7"/>
      <c r="O9" s="8" t="s">
        <v>51</v>
      </c>
      <c r="P9" s="7" t="s">
        <v>52</v>
      </c>
      <c r="Q9" s="10"/>
    </row>
    <row r="10" customFormat="false" ht="15.75" hidden="false" customHeight="false" outlineLevel="0" collapsed="false">
      <c r="A10" s="6"/>
      <c r="B10" s="12"/>
      <c r="C10" s="8"/>
      <c r="D10" s="12"/>
      <c r="E10" s="8"/>
      <c r="F10" s="12"/>
      <c r="G10" s="8"/>
      <c r="H10" s="12"/>
      <c r="I10" s="8"/>
      <c r="J10" s="12"/>
      <c r="K10" s="8"/>
      <c r="L10" s="12"/>
      <c r="M10" s="8"/>
      <c r="N10" s="12"/>
      <c r="O10" s="8"/>
      <c r="P10" s="12"/>
      <c r="Q10" s="10"/>
    </row>
    <row r="12" customFormat="false" ht="15.75" hidden="false" customHeight="false" outlineLevel="0" collapsed="false">
      <c r="A12" s="13" t="s">
        <v>53</v>
      </c>
    </row>
  </sheetData>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outlinePr summaryBelow="0"/>
    <pageSetUpPr fitToPage="false"/>
  </sheetPr>
  <dimension ref="A1:AQ104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6" activePane="bottomLeft" state="frozen"/>
      <selection pane="topLeft" activeCell="A1" activeCellId="0" sqref="A1"/>
      <selection pane="bottomLeft" activeCell="C1" activeCellId="0" sqref="C1"/>
    </sheetView>
  </sheetViews>
  <sheetFormatPr defaultColWidth="12.6328125" defaultRowHeight="15.75" customHeight="true" zeroHeight="false" outlineLevelRow="0" outlineLevelCol="0"/>
  <cols>
    <col collapsed="false" customWidth="true" hidden="false" outlineLevel="0" max="1" min="1" style="1" width="16.12"/>
    <col collapsed="false" customWidth="true" hidden="false" outlineLevel="0" max="2" min="2" style="1" width="19.52"/>
    <col collapsed="false" customWidth="true" hidden="false" outlineLevel="0" max="3" min="3" style="1" width="39.13"/>
    <col collapsed="false" customWidth="true" hidden="false" outlineLevel="0" max="4" min="4" style="1" width="6.25"/>
    <col collapsed="false" customWidth="true" hidden="false" outlineLevel="0" max="5" min="5" style="1" width="11.53"/>
    <col collapsed="false" customWidth="true" hidden="false" outlineLevel="0" max="7" min="6" style="1" width="6.25"/>
    <col collapsed="false" customWidth="true" hidden="false" outlineLevel="0" max="8" min="8" style="1" width="46.13"/>
    <col collapsed="false" customWidth="true" hidden="false" outlineLevel="0" max="9" min="9" style="1" width="6.25"/>
    <col collapsed="false" customWidth="true" hidden="false" outlineLevel="0" max="10" min="10" style="1" width="11.53"/>
    <col collapsed="false" customWidth="true" hidden="false" outlineLevel="0" max="11" min="11" style="1" width="6.38"/>
    <col collapsed="false" customWidth="true" hidden="false" outlineLevel="0" max="12" min="12" style="1" width="5.88"/>
    <col collapsed="false" customWidth="true" hidden="false" outlineLevel="0" max="13" min="13" style="1" width="45.12"/>
    <col collapsed="false" customWidth="true" hidden="false" outlineLevel="0" max="14" min="14" style="1" width="6.25"/>
    <col collapsed="false" customWidth="true" hidden="false" outlineLevel="0" max="15" min="15" style="1" width="11.53"/>
    <col collapsed="false" customWidth="true" hidden="false" outlineLevel="0" max="17" min="16" style="1" width="6.25"/>
    <col collapsed="false" customWidth="true" hidden="false" outlineLevel="0" max="18" min="18" style="1" width="40.5"/>
    <col collapsed="false" customWidth="true" hidden="false" outlineLevel="0" max="19" min="19" style="1" width="6.25"/>
    <col collapsed="false" customWidth="true" hidden="false" outlineLevel="0" max="20" min="20" style="1" width="11.53"/>
    <col collapsed="false" customWidth="true" hidden="false" outlineLevel="0" max="22" min="21" style="1" width="6.25"/>
  </cols>
  <sheetData>
    <row r="1" customFormat="false" ht="15.75" hidden="false" customHeight="false" outlineLevel="0" collapsed="false">
      <c r="A1" s="14"/>
      <c r="B1" s="14"/>
      <c r="C1" s="15" t="s">
        <v>54</v>
      </c>
      <c r="D1" s="15"/>
      <c r="E1" s="15"/>
      <c r="F1" s="15"/>
      <c r="G1" s="15"/>
      <c r="H1" s="15" t="s">
        <v>55</v>
      </c>
      <c r="I1" s="15"/>
      <c r="J1" s="15"/>
      <c r="K1" s="15"/>
      <c r="L1" s="15"/>
      <c r="M1" s="15" t="s">
        <v>56</v>
      </c>
      <c r="N1" s="15"/>
      <c r="O1" s="15"/>
      <c r="P1" s="15"/>
      <c r="Q1" s="15"/>
      <c r="R1" s="15" t="s">
        <v>57</v>
      </c>
      <c r="S1" s="15"/>
      <c r="T1" s="15"/>
      <c r="U1" s="15"/>
      <c r="V1" s="15"/>
      <c r="W1" s="16"/>
      <c r="X1" s="16"/>
      <c r="Y1" s="16"/>
      <c r="Z1" s="16"/>
      <c r="AA1" s="16"/>
      <c r="AB1" s="16"/>
      <c r="AC1" s="16"/>
      <c r="AD1" s="16"/>
      <c r="AE1" s="16"/>
      <c r="AF1" s="16"/>
      <c r="AG1" s="16"/>
      <c r="AH1" s="16"/>
      <c r="AI1" s="16"/>
      <c r="AJ1" s="16"/>
      <c r="AK1" s="16"/>
      <c r="AL1" s="16"/>
      <c r="AM1" s="16"/>
      <c r="AN1" s="16"/>
      <c r="AO1" s="16"/>
      <c r="AP1" s="16"/>
      <c r="AQ1" s="16"/>
    </row>
    <row r="2" customFormat="false" ht="68.65" hidden="false" customHeight="true" outlineLevel="0" collapsed="false">
      <c r="A2" s="17" t="s">
        <v>58</v>
      </c>
      <c r="B2" s="18" t="s">
        <v>59</v>
      </c>
      <c r="C2" s="19" t="s">
        <v>60</v>
      </c>
      <c r="D2" s="20" t="s">
        <v>61</v>
      </c>
      <c r="E2" s="20"/>
      <c r="F2" s="20"/>
      <c r="G2" s="20"/>
      <c r="H2" s="19" t="s">
        <v>62</v>
      </c>
      <c r="I2" s="21"/>
      <c r="J2" s="21"/>
      <c r="K2" s="21"/>
      <c r="L2" s="21"/>
      <c r="M2" s="19" t="s">
        <v>63</v>
      </c>
      <c r="N2" s="21"/>
      <c r="O2" s="21"/>
      <c r="P2" s="21"/>
      <c r="Q2" s="21"/>
      <c r="R2" s="22" t="s">
        <v>64</v>
      </c>
      <c r="S2" s="23"/>
      <c r="T2" s="23"/>
      <c r="U2" s="23"/>
      <c r="V2" s="23"/>
      <c r="W2" s="16"/>
      <c r="X2" s="16"/>
      <c r="Y2" s="16"/>
      <c r="Z2" s="16"/>
      <c r="AA2" s="16"/>
      <c r="AB2" s="16"/>
      <c r="AC2" s="16"/>
      <c r="AD2" s="16"/>
      <c r="AE2" s="16"/>
      <c r="AF2" s="16"/>
      <c r="AG2" s="16"/>
      <c r="AH2" s="16"/>
      <c r="AI2" s="16"/>
      <c r="AJ2" s="16"/>
      <c r="AK2" s="16"/>
      <c r="AL2" s="16"/>
      <c r="AM2" s="16"/>
      <c r="AN2" s="16"/>
      <c r="AO2" s="16"/>
      <c r="AP2" s="16"/>
      <c r="AQ2" s="16"/>
    </row>
    <row r="3" customFormat="false" ht="41.75" hidden="false" customHeight="true" outlineLevel="0" collapsed="false">
      <c r="A3" s="17"/>
      <c r="B3" s="18" t="s">
        <v>65</v>
      </c>
      <c r="C3" s="19" t="s">
        <v>66</v>
      </c>
      <c r="D3" s="20" t="s">
        <v>67</v>
      </c>
      <c r="E3" s="20"/>
      <c r="F3" s="20"/>
      <c r="G3" s="20"/>
      <c r="H3" s="24" t="n">
        <v>43164</v>
      </c>
      <c r="I3" s="25"/>
      <c r="J3" s="25"/>
      <c r="K3" s="25"/>
      <c r="L3" s="25"/>
      <c r="M3" s="19" t="s">
        <v>68</v>
      </c>
      <c r="N3" s="21"/>
      <c r="O3" s="21"/>
      <c r="P3" s="21"/>
      <c r="Q3" s="21"/>
      <c r="R3" s="19" t="s">
        <v>69</v>
      </c>
      <c r="S3" s="21"/>
      <c r="T3" s="21"/>
      <c r="U3" s="21"/>
      <c r="V3" s="21"/>
      <c r="W3" s="16"/>
      <c r="X3" s="16"/>
      <c r="Y3" s="16"/>
      <c r="Z3" s="16"/>
      <c r="AA3" s="16"/>
      <c r="AB3" s="16"/>
      <c r="AC3" s="16"/>
      <c r="AD3" s="16"/>
      <c r="AE3" s="16"/>
      <c r="AF3" s="16"/>
      <c r="AG3" s="16"/>
      <c r="AH3" s="16"/>
      <c r="AI3" s="16"/>
      <c r="AJ3" s="16"/>
      <c r="AK3" s="16"/>
      <c r="AL3" s="16"/>
      <c r="AM3" s="16"/>
      <c r="AN3" s="16"/>
      <c r="AO3" s="16"/>
      <c r="AP3" s="16"/>
      <c r="AQ3" s="16"/>
    </row>
    <row r="4" customFormat="false" ht="150.6" hidden="false" customHeight="true" outlineLevel="0" collapsed="false">
      <c r="A4" s="17"/>
      <c r="B4" s="18" t="s">
        <v>70</v>
      </c>
      <c r="C4" s="26" t="s">
        <v>71</v>
      </c>
      <c r="D4" s="20" t="s">
        <v>72</v>
      </c>
      <c r="E4" s="20"/>
      <c r="F4" s="20"/>
      <c r="G4" s="20"/>
      <c r="H4" s="26" t="s">
        <v>73</v>
      </c>
      <c r="I4" s="27"/>
      <c r="J4" s="27"/>
      <c r="K4" s="27"/>
      <c r="L4" s="27"/>
      <c r="M4" s="26" t="s">
        <v>74</v>
      </c>
      <c r="N4" s="27"/>
      <c r="O4" s="27"/>
      <c r="P4" s="27"/>
      <c r="Q4" s="27"/>
      <c r="R4" s="26" t="s">
        <v>75</v>
      </c>
      <c r="S4" s="27"/>
      <c r="T4" s="27"/>
      <c r="U4" s="27"/>
      <c r="V4" s="27"/>
      <c r="W4" s="16"/>
      <c r="X4" s="16"/>
      <c r="Y4" s="16"/>
      <c r="Z4" s="16"/>
      <c r="AA4" s="16"/>
      <c r="AB4" s="16"/>
      <c r="AC4" s="16"/>
      <c r="AD4" s="16"/>
      <c r="AE4" s="16"/>
      <c r="AF4" s="16"/>
      <c r="AG4" s="16"/>
      <c r="AH4" s="16"/>
      <c r="AI4" s="16"/>
      <c r="AJ4" s="16"/>
      <c r="AK4" s="16"/>
      <c r="AL4" s="16"/>
      <c r="AM4" s="16"/>
      <c r="AN4" s="16"/>
      <c r="AO4" s="16"/>
      <c r="AP4" s="16"/>
      <c r="AQ4" s="16"/>
    </row>
    <row r="5" customFormat="false" ht="15.75" hidden="false" customHeight="true" outlineLevel="0" collapsed="false">
      <c r="A5" s="17"/>
      <c r="B5" s="28" t="s">
        <v>76</v>
      </c>
      <c r="C5" s="29"/>
      <c r="D5" s="29"/>
      <c r="E5" s="29"/>
      <c r="F5" s="29"/>
      <c r="G5" s="29"/>
      <c r="H5" s="29"/>
      <c r="I5" s="29"/>
      <c r="J5" s="29"/>
      <c r="K5" s="29"/>
      <c r="L5" s="29"/>
      <c r="M5" s="30"/>
      <c r="N5" s="31" t="s">
        <v>77</v>
      </c>
      <c r="O5" s="31"/>
      <c r="P5" s="31" t="s">
        <v>78</v>
      </c>
      <c r="Q5" s="31"/>
      <c r="R5" s="30"/>
      <c r="S5" s="31" t="s">
        <v>77</v>
      </c>
      <c r="T5" s="31"/>
      <c r="U5" s="31" t="s">
        <v>78</v>
      </c>
      <c r="V5" s="31"/>
      <c r="W5" s="16"/>
      <c r="X5" s="16"/>
      <c r="Y5" s="16"/>
      <c r="Z5" s="16"/>
      <c r="AA5" s="16"/>
      <c r="AB5" s="16"/>
      <c r="AC5" s="16"/>
      <c r="AD5" s="16"/>
      <c r="AE5" s="16"/>
      <c r="AF5" s="16"/>
      <c r="AG5" s="16"/>
      <c r="AH5" s="16"/>
      <c r="AI5" s="16"/>
      <c r="AJ5" s="16"/>
      <c r="AK5" s="16"/>
      <c r="AL5" s="16"/>
      <c r="AM5" s="16"/>
      <c r="AN5" s="16"/>
      <c r="AO5" s="16"/>
      <c r="AP5" s="16"/>
      <c r="AQ5" s="16"/>
    </row>
    <row r="6" customFormat="false" ht="28.35" hidden="false" customHeight="false" outlineLevel="0" collapsed="false">
      <c r="A6" s="17"/>
      <c r="B6" s="17"/>
      <c r="C6" s="17"/>
      <c r="D6" s="29"/>
      <c r="E6" s="29"/>
      <c r="F6" s="29"/>
      <c r="G6" s="29"/>
      <c r="H6" s="29"/>
      <c r="I6" s="29"/>
      <c r="J6" s="29"/>
      <c r="K6" s="29"/>
      <c r="L6" s="29"/>
      <c r="M6" s="32" t="s">
        <v>79</v>
      </c>
      <c r="N6" s="33"/>
      <c r="O6" s="33"/>
      <c r="P6" s="33"/>
      <c r="Q6" s="33"/>
      <c r="R6" s="32" t="s">
        <v>79</v>
      </c>
      <c r="S6" s="33"/>
      <c r="T6" s="33"/>
      <c r="U6" s="33"/>
      <c r="V6" s="33"/>
      <c r="W6" s="16"/>
      <c r="X6" s="16"/>
      <c r="Y6" s="16"/>
      <c r="Z6" s="16"/>
      <c r="AA6" s="16"/>
      <c r="AB6" s="16"/>
      <c r="AC6" s="16"/>
      <c r="AD6" s="16"/>
      <c r="AE6" s="16"/>
      <c r="AF6" s="16"/>
      <c r="AG6" s="16"/>
      <c r="AH6" s="16"/>
      <c r="AI6" s="16"/>
      <c r="AJ6" s="16"/>
      <c r="AK6" s="16"/>
      <c r="AL6" s="16"/>
      <c r="AM6" s="16"/>
      <c r="AN6" s="16"/>
      <c r="AO6" s="16"/>
      <c r="AP6" s="16"/>
      <c r="AQ6" s="16"/>
    </row>
    <row r="7" customFormat="false" ht="15.75" hidden="false" customHeight="false" outlineLevel="0" collapsed="false">
      <c r="A7" s="17"/>
      <c r="B7" s="17"/>
      <c r="C7" s="17"/>
      <c r="D7" s="29"/>
      <c r="E7" s="29"/>
      <c r="F7" s="29"/>
      <c r="G7" s="29"/>
      <c r="H7" s="29"/>
      <c r="I7" s="29"/>
      <c r="J7" s="29"/>
      <c r="K7" s="29"/>
      <c r="L7" s="29"/>
      <c r="M7" s="32" t="s">
        <v>80</v>
      </c>
      <c r="N7" s="33"/>
      <c r="O7" s="33"/>
      <c r="P7" s="33"/>
      <c r="Q7" s="33"/>
      <c r="R7" s="32" t="s">
        <v>80</v>
      </c>
      <c r="S7" s="33"/>
      <c r="T7" s="33"/>
      <c r="U7" s="33"/>
      <c r="V7" s="33"/>
      <c r="W7" s="16"/>
      <c r="X7" s="16"/>
      <c r="Y7" s="16"/>
      <c r="Z7" s="16"/>
      <c r="AA7" s="16"/>
      <c r="AB7" s="16"/>
      <c r="AC7" s="16"/>
      <c r="AD7" s="16"/>
      <c r="AE7" s="16"/>
      <c r="AF7" s="16"/>
      <c r="AG7" s="16"/>
      <c r="AH7" s="16"/>
      <c r="AI7" s="16"/>
      <c r="AJ7" s="16"/>
      <c r="AK7" s="16"/>
      <c r="AL7" s="16"/>
      <c r="AM7" s="16"/>
      <c r="AN7" s="16"/>
      <c r="AO7" s="16"/>
      <c r="AP7" s="16"/>
      <c r="AQ7" s="16"/>
    </row>
    <row r="8" customFormat="false" ht="28.35" hidden="false" customHeight="false" outlineLevel="0" collapsed="false">
      <c r="A8" s="17"/>
      <c r="B8" s="17"/>
      <c r="C8" s="17"/>
      <c r="D8" s="29"/>
      <c r="E8" s="29"/>
      <c r="F8" s="29"/>
      <c r="G8" s="29"/>
      <c r="H8" s="29"/>
      <c r="I8" s="29"/>
      <c r="J8" s="29"/>
      <c r="K8" s="29"/>
      <c r="L8" s="29"/>
      <c r="M8" s="32" t="s">
        <v>81</v>
      </c>
      <c r="N8" s="33"/>
      <c r="O8" s="33"/>
      <c r="P8" s="33"/>
      <c r="Q8" s="33"/>
      <c r="R8" s="32" t="s">
        <v>81</v>
      </c>
      <c r="S8" s="33"/>
      <c r="T8" s="33"/>
      <c r="U8" s="33"/>
      <c r="V8" s="33"/>
      <c r="W8" s="16"/>
      <c r="X8" s="16"/>
      <c r="Y8" s="16"/>
      <c r="Z8" s="16"/>
      <c r="AA8" s="16"/>
      <c r="AB8" s="16"/>
      <c r="AC8" s="16"/>
      <c r="AD8" s="16"/>
      <c r="AE8" s="16"/>
      <c r="AF8" s="16"/>
      <c r="AG8" s="16"/>
      <c r="AH8" s="16"/>
      <c r="AI8" s="16"/>
      <c r="AJ8" s="16"/>
      <c r="AK8" s="16"/>
      <c r="AL8" s="16"/>
      <c r="AM8" s="16"/>
      <c r="AN8" s="16"/>
      <c r="AO8" s="16"/>
      <c r="AP8" s="16"/>
      <c r="AQ8" s="16"/>
    </row>
    <row r="9" customFormat="false" ht="41.75" hidden="false" customHeight="false" outlineLevel="0" collapsed="false">
      <c r="A9" s="17"/>
      <c r="B9" s="17"/>
      <c r="C9" s="17"/>
      <c r="D9" s="29"/>
      <c r="E9" s="29"/>
      <c r="F9" s="29"/>
      <c r="G9" s="29"/>
      <c r="H9" s="29"/>
      <c r="I9" s="29"/>
      <c r="J9" s="29"/>
      <c r="K9" s="29"/>
      <c r="L9" s="29"/>
      <c r="M9" s="32" t="s">
        <v>82</v>
      </c>
      <c r="N9" s="33"/>
      <c r="O9" s="33"/>
      <c r="P9" s="33"/>
      <c r="Q9" s="33"/>
      <c r="R9" s="32" t="s">
        <v>82</v>
      </c>
      <c r="S9" s="33"/>
      <c r="T9" s="33"/>
      <c r="U9" s="33"/>
      <c r="V9" s="33"/>
      <c r="W9" s="16"/>
      <c r="X9" s="16"/>
      <c r="Y9" s="16"/>
      <c r="Z9" s="16"/>
      <c r="AA9" s="16"/>
      <c r="AB9" s="16"/>
      <c r="AC9" s="16"/>
      <c r="AD9" s="16"/>
      <c r="AE9" s="16"/>
      <c r="AF9" s="16"/>
      <c r="AG9" s="16"/>
      <c r="AH9" s="16"/>
      <c r="AI9" s="16"/>
      <c r="AJ9" s="16"/>
      <c r="AK9" s="16"/>
      <c r="AL9" s="16"/>
      <c r="AM9" s="16"/>
      <c r="AN9" s="16"/>
      <c r="AO9" s="16"/>
      <c r="AP9" s="16"/>
      <c r="AQ9" s="16"/>
    </row>
    <row r="10" customFormat="false" ht="28.35" hidden="false" customHeight="false" outlineLevel="0" collapsed="false">
      <c r="A10" s="17"/>
      <c r="B10" s="17"/>
      <c r="C10" s="17"/>
      <c r="D10" s="29"/>
      <c r="E10" s="29"/>
      <c r="F10" s="29"/>
      <c r="G10" s="29"/>
      <c r="H10" s="29"/>
      <c r="I10" s="29"/>
      <c r="J10" s="29"/>
      <c r="K10" s="29"/>
      <c r="L10" s="29"/>
      <c r="M10" s="23"/>
      <c r="N10" s="23"/>
      <c r="O10" s="23"/>
      <c r="P10" s="23"/>
      <c r="Q10" s="23"/>
      <c r="R10" s="32" t="s">
        <v>83</v>
      </c>
      <c r="S10" s="33"/>
      <c r="T10" s="33"/>
      <c r="U10" s="33"/>
      <c r="V10" s="33"/>
      <c r="W10" s="16"/>
      <c r="X10" s="16"/>
      <c r="Y10" s="16"/>
      <c r="Z10" s="16"/>
      <c r="AA10" s="16"/>
      <c r="AB10" s="16"/>
      <c r="AC10" s="16"/>
      <c r="AD10" s="16"/>
      <c r="AE10" s="16"/>
      <c r="AF10" s="16"/>
      <c r="AG10" s="16"/>
      <c r="AH10" s="16"/>
      <c r="AI10" s="16"/>
      <c r="AJ10" s="16"/>
      <c r="AK10" s="16"/>
      <c r="AL10" s="16"/>
      <c r="AM10" s="16"/>
      <c r="AN10" s="16"/>
      <c r="AO10" s="16"/>
      <c r="AP10" s="16"/>
      <c r="AQ10" s="16"/>
    </row>
    <row r="11" customFormat="false" ht="55.2" hidden="false" customHeight="false" outlineLevel="0" collapsed="false">
      <c r="A11" s="17"/>
      <c r="B11" s="17"/>
      <c r="C11" s="17"/>
      <c r="D11" s="29"/>
      <c r="E11" s="29"/>
      <c r="F11" s="29"/>
      <c r="G11" s="29"/>
      <c r="H11" s="29"/>
      <c r="I11" s="29"/>
      <c r="J11" s="29"/>
      <c r="K11" s="29"/>
      <c r="L11" s="29"/>
      <c r="M11" s="23"/>
      <c r="N11" s="23"/>
      <c r="O11" s="23"/>
      <c r="P11" s="23"/>
      <c r="Q11" s="23"/>
      <c r="R11" s="32" t="s">
        <v>84</v>
      </c>
      <c r="S11" s="33"/>
      <c r="T11" s="33"/>
      <c r="U11" s="33"/>
      <c r="V11" s="33"/>
      <c r="W11" s="16"/>
      <c r="X11" s="16"/>
      <c r="Y11" s="16"/>
      <c r="Z11" s="16"/>
      <c r="AA11" s="16"/>
      <c r="AB11" s="16"/>
      <c r="AC11" s="16"/>
      <c r="AD11" s="16"/>
      <c r="AE11" s="16"/>
      <c r="AF11" s="16"/>
      <c r="AG11" s="16"/>
      <c r="AH11" s="16"/>
      <c r="AI11" s="16"/>
      <c r="AJ11" s="16"/>
      <c r="AK11" s="16"/>
      <c r="AL11" s="16"/>
      <c r="AM11" s="16"/>
      <c r="AN11" s="16"/>
      <c r="AO11" s="16"/>
      <c r="AP11" s="16"/>
      <c r="AQ11" s="16"/>
    </row>
    <row r="12" customFormat="false" ht="41.75" hidden="false" customHeight="false" outlineLevel="0" collapsed="false">
      <c r="A12" s="17"/>
      <c r="B12" s="17"/>
      <c r="C12" s="17"/>
      <c r="D12" s="29"/>
      <c r="E12" s="29"/>
      <c r="F12" s="29"/>
      <c r="G12" s="29"/>
      <c r="H12" s="29"/>
      <c r="I12" s="29"/>
      <c r="J12" s="29"/>
      <c r="K12" s="29"/>
      <c r="L12" s="29"/>
      <c r="M12" s="23"/>
      <c r="N12" s="23"/>
      <c r="O12" s="23"/>
      <c r="P12" s="23"/>
      <c r="Q12" s="23"/>
      <c r="R12" s="32" t="s">
        <v>85</v>
      </c>
      <c r="S12" s="33"/>
      <c r="T12" s="33"/>
      <c r="U12" s="33"/>
      <c r="V12" s="33"/>
      <c r="W12" s="16"/>
      <c r="X12" s="16"/>
      <c r="Y12" s="16"/>
      <c r="Z12" s="16"/>
      <c r="AA12" s="16"/>
      <c r="AB12" s="16"/>
      <c r="AC12" s="16"/>
      <c r="AD12" s="16"/>
      <c r="AE12" s="16"/>
      <c r="AF12" s="16"/>
      <c r="AG12" s="16"/>
      <c r="AH12" s="16"/>
      <c r="AI12" s="16"/>
      <c r="AJ12" s="16"/>
      <c r="AK12" s="16"/>
      <c r="AL12" s="16"/>
      <c r="AM12" s="16"/>
      <c r="AN12" s="16"/>
      <c r="AO12" s="16"/>
      <c r="AP12" s="16"/>
      <c r="AQ12" s="16"/>
    </row>
    <row r="13" customFormat="false" ht="41.75" hidden="false" customHeight="false" outlineLevel="0" collapsed="false">
      <c r="A13" s="17"/>
      <c r="B13" s="17"/>
      <c r="C13" s="17"/>
      <c r="D13" s="29"/>
      <c r="E13" s="29"/>
      <c r="F13" s="29"/>
      <c r="G13" s="29"/>
      <c r="H13" s="29"/>
      <c r="I13" s="29"/>
      <c r="J13" s="29"/>
      <c r="K13" s="29"/>
      <c r="L13" s="29"/>
      <c r="M13" s="23"/>
      <c r="N13" s="23"/>
      <c r="O13" s="23"/>
      <c r="P13" s="23"/>
      <c r="Q13" s="23"/>
      <c r="R13" s="32" t="s">
        <v>86</v>
      </c>
      <c r="S13" s="33"/>
      <c r="T13" s="33"/>
      <c r="U13" s="33"/>
      <c r="V13" s="33"/>
      <c r="W13" s="16"/>
      <c r="X13" s="16"/>
      <c r="Y13" s="16"/>
      <c r="Z13" s="16"/>
      <c r="AA13" s="16"/>
      <c r="AB13" s="16"/>
      <c r="AC13" s="16"/>
      <c r="AD13" s="16"/>
      <c r="AE13" s="16"/>
      <c r="AF13" s="16"/>
      <c r="AG13" s="16"/>
      <c r="AH13" s="16"/>
      <c r="AI13" s="16"/>
      <c r="AJ13" s="16"/>
      <c r="AK13" s="16"/>
      <c r="AL13" s="16"/>
      <c r="AM13" s="16"/>
      <c r="AN13" s="16"/>
      <c r="AO13" s="16"/>
      <c r="AP13" s="16"/>
      <c r="AQ13" s="16"/>
    </row>
    <row r="14" customFormat="false" ht="41.75" hidden="false" customHeight="false" outlineLevel="0" collapsed="false">
      <c r="A14" s="17"/>
      <c r="B14" s="17"/>
      <c r="C14" s="17"/>
      <c r="D14" s="29"/>
      <c r="E14" s="29"/>
      <c r="F14" s="29"/>
      <c r="G14" s="29"/>
      <c r="H14" s="29"/>
      <c r="I14" s="29"/>
      <c r="J14" s="29"/>
      <c r="K14" s="29"/>
      <c r="L14" s="29"/>
      <c r="M14" s="23"/>
      <c r="N14" s="23"/>
      <c r="O14" s="23"/>
      <c r="P14" s="23"/>
      <c r="Q14" s="23"/>
      <c r="R14" s="32" t="s">
        <v>87</v>
      </c>
      <c r="S14" s="33"/>
      <c r="T14" s="33"/>
      <c r="U14" s="33"/>
      <c r="V14" s="33"/>
      <c r="W14" s="16"/>
      <c r="X14" s="16"/>
      <c r="Y14" s="16"/>
      <c r="Z14" s="16"/>
      <c r="AA14" s="16"/>
      <c r="AB14" s="16"/>
      <c r="AC14" s="16"/>
      <c r="AD14" s="16"/>
      <c r="AE14" s="16"/>
      <c r="AF14" s="16"/>
      <c r="AG14" s="16"/>
      <c r="AH14" s="16"/>
      <c r="AI14" s="16"/>
      <c r="AJ14" s="16"/>
      <c r="AK14" s="16"/>
      <c r="AL14" s="16"/>
      <c r="AM14" s="16"/>
      <c r="AN14" s="16"/>
      <c r="AO14" s="16"/>
      <c r="AP14" s="16"/>
      <c r="AQ14" s="16"/>
    </row>
    <row r="15" customFormat="false" ht="15.75" hidden="false" customHeight="false" outlineLevel="0" collapsed="false">
      <c r="A15" s="34"/>
      <c r="B15" s="34"/>
      <c r="C15" s="34"/>
      <c r="D15" s="34"/>
      <c r="E15" s="34"/>
      <c r="F15" s="34"/>
      <c r="G15" s="34"/>
      <c r="H15" s="34"/>
      <c r="I15" s="34"/>
      <c r="J15" s="34"/>
      <c r="K15" s="34"/>
      <c r="L15" s="34"/>
      <c r="M15" s="35" t="s">
        <v>88</v>
      </c>
      <c r="N15" s="36" t="str">
        <f aca="false">IF( AND(COUNT(N6:Q6)=1,COUNT(N7:Q7)=1,COUNT(N8:Q8)=1,COUNT(N9:Q9)=1), SUM(P6:Q9)/ROWS(P6:Q9), "Error - check cell values")</f>
        <v>Error - check cell values</v>
      </c>
      <c r="O15" s="36"/>
      <c r="P15" s="36"/>
      <c r="Q15" s="36"/>
      <c r="R15" s="35" t="s">
        <v>88</v>
      </c>
      <c r="S15" s="36" t="str">
        <f aca="false">IF( AND(COUNT(S6:V6)=1,COUNT(S7:V7)=1,COUNT(S8:V8)=1,COUNT(S9:V9)=1,COUNT(S10:V10)=1,COUNT(S11:V11)=1,COUNT(S12:V12)=1,COUNT(S13:V13)=1,COUNT(S14:V14)=1), SUM(U6:V14)/ROWS(U6:V14), "Error - check cell values")</f>
        <v>Error - check cell values</v>
      </c>
      <c r="T15" s="36"/>
      <c r="U15" s="36"/>
      <c r="V15" s="36"/>
      <c r="W15" s="16"/>
      <c r="X15" s="16"/>
      <c r="Y15" s="16"/>
      <c r="Z15" s="16"/>
      <c r="AA15" s="16"/>
      <c r="AB15" s="16"/>
      <c r="AC15" s="16"/>
      <c r="AD15" s="16"/>
      <c r="AE15" s="16"/>
      <c r="AF15" s="16"/>
      <c r="AG15" s="16"/>
      <c r="AH15" s="16"/>
      <c r="AI15" s="16"/>
      <c r="AJ15" s="16"/>
      <c r="AK15" s="16"/>
      <c r="AL15" s="16"/>
      <c r="AM15" s="16"/>
      <c r="AN15" s="16"/>
      <c r="AO15" s="16"/>
      <c r="AP15" s="16"/>
      <c r="AQ15" s="16"/>
    </row>
    <row r="16" customFormat="false" ht="28.45" hidden="false" customHeight="false" outlineLevel="0" collapsed="false">
      <c r="A16" s="37"/>
      <c r="B16" s="37"/>
      <c r="C16" s="37"/>
      <c r="D16" s="38" t="s">
        <v>77</v>
      </c>
      <c r="E16" s="38" t="s">
        <v>89</v>
      </c>
      <c r="F16" s="38" t="s">
        <v>78</v>
      </c>
      <c r="G16" s="38" t="s">
        <v>90</v>
      </c>
      <c r="H16" s="39"/>
      <c r="I16" s="38" t="s">
        <v>77</v>
      </c>
      <c r="J16" s="38" t="s">
        <v>89</v>
      </c>
      <c r="K16" s="38" t="s">
        <v>78</v>
      </c>
      <c r="L16" s="38" t="s">
        <v>90</v>
      </c>
      <c r="M16" s="39"/>
      <c r="N16" s="38" t="s">
        <v>77</v>
      </c>
      <c r="O16" s="38" t="s">
        <v>89</v>
      </c>
      <c r="P16" s="38" t="s">
        <v>78</v>
      </c>
      <c r="Q16" s="38" t="s">
        <v>90</v>
      </c>
      <c r="R16" s="39"/>
      <c r="S16" s="38" t="s">
        <v>77</v>
      </c>
      <c r="T16" s="38" t="s">
        <v>89</v>
      </c>
      <c r="U16" s="38" t="s">
        <v>78</v>
      </c>
      <c r="V16" s="38" t="s">
        <v>90</v>
      </c>
      <c r="W16" s="16"/>
      <c r="X16" s="16"/>
      <c r="Y16" s="16"/>
      <c r="Z16" s="16"/>
      <c r="AA16" s="16"/>
      <c r="AB16" s="16"/>
      <c r="AC16" s="16"/>
      <c r="AD16" s="16"/>
      <c r="AE16" s="16"/>
      <c r="AF16" s="16"/>
      <c r="AG16" s="16"/>
      <c r="AH16" s="16"/>
      <c r="AI16" s="16"/>
      <c r="AJ16" s="16"/>
      <c r="AK16" s="16"/>
      <c r="AL16" s="16"/>
      <c r="AM16" s="16"/>
      <c r="AN16" s="16"/>
      <c r="AO16" s="16"/>
      <c r="AP16" s="16"/>
      <c r="AQ16" s="16"/>
    </row>
    <row r="17" customFormat="false" ht="46.25" hidden="false" customHeight="true" outlineLevel="0" collapsed="false">
      <c r="A17" s="17" t="s">
        <v>91</v>
      </c>
      <c r="B17" s="40" t="s">
        <v>92</v>
      </c>
      <c r="C17" s="41" t="s">
        <v>93</v>
      </c>
      <c r="D17" s="22"/>
      <c r="E17" s="22"/>
      <c r="F17" s="22"/>
      <c r="G17" s="22" t="n">
        <v>1</v>
      </c>
      <c r="H17" s="42" t="s">
        <v>94</v>
      </c>
      <c r="I17" s="22"/>
      <c r="J17" s="22"/>
      <c r="K17" s="43"/>
      <c r="L17" s="43" t="n">
        <v>1</v>
      </c>
      <c r="M17" s="42" t="s">
        <v>95</v>
      </c>
      <c r="N17" s="22"/>
      <c r="O17" s="22"/>
      <c r="P17" s="22"/>
      <c r="Q17" s="44" t="n">
        <v>1</v>
      </c>
      <c r="R17" s="26" t="s">
        <v>96</v>
      </c>
      <c r="S17" s="22"/>
      <c r="T17" s="22"/>
      <c r="U17" s="22"/>
      <c r="V17" s="22" t="n">
        <v>1</v>
      </c>
      <c r="W17" s="16"/>
      <c r="X17" s="16"/>
      <c r="Y17" s="16"/>
      <c r="Z17" s="16"/>
      <c r="AA17" s="16"/>
      <c r="AB17" s="16"/>
      <c r="AC17" s="16"/>
      <c r="AD17" s="16"/>
      <c r="AE17" s="16"/>
      <c r="AF17" s="16"/>
      <c r="AG17" s="16"/>
      <c r="AH17" s="16"/>
      <c r="AI17" s="16"/>
      <c r="AJ17" s="16"/>
      <c r="AK17" s="16"/>
      <c r="AL17" s="16"/>
      <c r="AM17" s="16"/>
      <c r="AN17" s="16"/>
      <c r="AO17" s="16"/>
      <c r="AP17" s="16"/>
      <c r="AQ17" s="16"/>
    </row>
    <row r="18" customFormat="false" ht="41.75" hidden="false" customHeight="false" outlineLevel="0" collapsed="false">
      <c r="A18" s="17"/>
      <c r="B18" s="17"/>
      <c r="C18" s="45" t="s">
        <v>97</v>
      </c>
      <c r="D18" s="22"/>
      <c r="E18" s="22"/>
      <c r="F18" s="22"/>
      <c r="G18" s="22" t="n">
        <v>1</v>
      </c>
      <c r="H18" s="42" t="s">
        <v>98</v>
      </c>
      <c r="I18" s="22"/>
      <c r="J18" s="22"/>
      <c r="K18" s="43"/>
      <c r="L18" s="43" t="n">
        <v>1</v>
      </c>
      <c r="M18" s="26" t="s">
        <v>99</v>
      </c>
      <c r="N18" s="22"/>
      <c r="O18" s="22"/>
      <c r="P18" s="22"/>
      <c r="Q18" s="44" t="n">
        <v>1</v>
      </c>
      <c r="R18" s="26" t="s">
        <v>100</v>
      </c>
      <c r="S18" s="22"/>
      <c r="T18" s="22"/>
      <c r="U18" s="22"/>
      <c r="V18" s="22" t="n">
        <v>1</v>
      </c>
      <c r="W18" s="16"/>
      <c r="X18" s="16"/>
      <c r="Y18" s="16"/>
      <c r="Z18" s="16"/>
      <c r="AA18" s="16"/>
      <c r="AB18" s="16"/>
      <c r="AC18" s="16"/>
      <c r="AD18" s="16"/>
      <c r="AE18" s="16"/>
      <c r="AF18" s="16"/>
      <c r="AG18" s="16"/>
      <c r="AH18" s="16"/>
      <c r="AI18" s="16"/>
      <c r="AJ18" s="16"/>
      <c r="AK18" s="16"/>
      <c r="AL18" s="16"/>
      <c r="AM18" s="16"/>
      <c r="AN18" s="16"/>
      <c r="AO18" s="16"/>
      <c r="AP18" s="16"/>
      <c r="AQ18" s="16"/>
    </row>
    <row r="19" customFormat="false" ht="68.65" hidden="false" customHeight="false" outlineLevel="0" collapsed="false">
      <c r="A19" s="17"/>
      <c r="B19" s="17"/>
      <c r="C19" s="45" t="s">
        <v>101</v>
      </c>
      <c r="D19" s="22"/>
      <c r="E19" s="22"/>
      <c r="F19" s="22"/>
      <c r="G19" s="22" t="n">
        <v>1</v>
      </c>
      <c r="H19" s="46" t="s">
        <v>102</v>
      </c>
      <c r="I19" s="22"/>
      <c r="J19" s="22"/>
      <c r="K19" s="43"/>
      <c r="L19" s="43" t="n">
        <v>1</v>
      </c>
      <c r="M19" s="42" t="s">
        <v>103</v>
      </c>
      <c r="N19" s="22"/>
      <c r="O19" s="22"/>
      <c r="P19" s="22"/>
      <c r="Q19" s="44" t="n">
        <v>1</v>
      </c>
      <c r="R19" s="26" t="s">
        <v>104</v>
      </c>
      <c r="S19" s="22"/>
      <c r="T19" s="22"/>
      <c r="U19" s="22"/>
      <c r="V19" s="22" t="n">
        <v>1</v>
      </c>
      <c r="W19" s="16"/>
      <c r="X19" s="16"/>
      <c r="Y19" s="16"/>
      <c r="Z19" s="16"/>
      <c r="AA19" s="16"/>
      <c r="AB19" s="16"/>
      <c r="AC19" s="16"/>
      <c r="AD19" s="16"/>
      <c r="AE19" s="16"/>
      <c r="AF19" s="16"/>
      <c r="AG19" s="16"/>
      <c r="AH19" s="16"/>
      <c r="AI19" s="16"/>
      <c r="AJ19" s="16"/>
      <c r="AK19" s="16"/>
      <c r="AL19" s="16"/>
      <c r="AM19" s="16"/>
      <c r="AN19" s="16"/>
      <c r="AO19" s="16"/>
      <c r="AP19" s="16"/>
      <c r="AQ19" s="16"/>
    </row>
    <row r="20" customFormat="false" ht="68.65" hidden="false" customHeight="false" outlineLevel="0" collapsed="false">
      <c r="A20" s="17"/>
      <c r="B20" s="17"/>
      <c r="C20" s="45" t="s">
        <v>105</v>
      </c>
      <c r="D20" s="22"/>
      <c r="E20" s="22"/>
      <c r="F20" s="22"/>
      <c r="G20" s="22" t="n">
        <v>1</v>
      </c>
      <c r="H20" s="26" t="s">
        <v>106</v>
      </c>
      <c r="I20" s="22"/>
      <c r="J20" s="22"/>
      <c r="K20" s="43"/>
      <c r="L20" s="43" t="n">
        <v>1</v>
      </c>
      <c r="M20" s="42" t="s">
        <v>107</v>
      </c>
      <c r="N20" s="22"/>
      <c r="O20" s="22"/>
      <c r="P20" s="22"/>
      <c r="Q20" s="44" t="n">
        <v>1</v>
      </c>
      <c r="R20" s="42" t="s">
        <v>108</v>
      </c>
      <c r="S20" s="22"/>
      <c r="T20" s="22"/>
      <c r="U20" s="22"/>
      <c r="V20" s="22" t="n">
        <v>1</v>
      </c>
      <c r="W20" s="16"/>
      <c r="X20" s="16"/>
      <c r="Y20" s="16"/>
      <c r="Z20" s="16"/>
      <c r="AA20" s="16"/>
      <c r="AB20" s="16"/>
      <c r="AC20" s="16"/>
      <c r="AD20" s="16"/>
      <c r="AE20" s="16"/>
      <c r="AF20" s="16"/>
      <c r="AG20" s="16"/>
      <c r="AH20" s="16"/>
      <c r="AI20" s="16"/>
      <c r="AJ20" s="16"/>
      <c r="AK20" s="16"/>
      <c r="AL20" s="16"/>
      <c r="AM20" s="16"/>
      <c r="AN20" s="16"/>
      <c r="AO20" s="16"/>
      <c r="AP20" s="16"/>
      <c r="AQ20" s="16"/>
    </row>
    <row r="21" customFormat="false" ht="41.75" hidden="false" customHeight="false" outlineLevel="0" collapsed="false">
      <c r="A21" s="17"/>
      <c r="B21" s="17"/>
      <c r="C21" s="47"/>
      <c r="D21" s="47"/>
      <c r="E21" s="47"/>
      <c r="F21" s="47"/>
      <c r="G21" s="47"/>
      <c r="H21" s="42" t="s">
        <v>109</v>
      </c>
      <c r="I21" s="22"/>
      <c r="J21" s="22"/>
      <c r="K21" s="43"/>
      <c r="L21" s="43" t="n">
        <v>1</v>
      </c>
      <c r="M21" s="48" t="s">
        <v>110</v>
      </c>
      <c r="N21" s="22"/>
      <c r="O21" s="22"/>
      <c r="P21" s="22"/>
      <c r="Q21" s="44" t="n">
        <v>1</v>
      </c>
      <c r="R21" s="26" t="s">
        <v>111</v>
      </c>
      <c r="S21" s="22"/>
      <c r="T21" s="22"/>
      <c r="U21" s="22"/>
      <c r="V21" s="22" t="n">
        <v>1</v>
      </c>
      <c r="W21" s="16"/>
      <c r="X21" s="16"/>
      <c r="Y21" s="16"/>
      <c r="Z21" s="16"/>
      <c r="AA21" s="16"/>
      <c r="AB21" s="16"/>
      <c r="AC21" s="16"/>
      <c r="AD21" s="16"/>
      <c r="AE21" s="16"/>
      <c r="AF21" s="16"/>
      <c r="AG21" s="16"/>
      <c r="AH21" s="16"/>
      <c r="AI21" s="16"/>
      <c r="AJ21" s="16"/>
      <c r="AK21" s="16"/>
      <c r="AL21" s="16"/>
      <c r="AM21" s="16"/>
      <c r="AN21" s="16"/>
      <c r="AO21" s="16"/>
      <c r="AP21" s="16"/>
      <c r="AQ21" s="16"/>
    </row>
    <row r="22" customFormat="false" ht="55.2" hidden="false" customHeight="false" outlineLevel="0" collapsed="false">
      <c r="A22" s="17"/>
      <c r="B22" s="17"/>
      <c r="C22" s="17"/>
      <c r="D22" s="47"/>
      <c r="E22" s="47"/>
      <c r="F22" s="47"/>
      <c r="G22" s="47"/>
      <c r="H22" s="42" t="s">
        <v>112</v>
      </c>
      <c r="I22" s="22"/>
      <c r="J22" s="22"/>
      <c r="K22" s="43"/>
      <c r="L22" s="43" t="n">
        <v>1</v>
      </c>
      <c r="M22" s="42" t="s">
        <v>113</v>
      </c>
      <c r="N22" s="22"/>
      <c r="O22" s="22"/>
      <c r="P22" s="22"/>
      <c r="Q22" s="44" t="n">
        <v>1</v>
      </c>
      <c r="R22" s="49"/>
      <c r="S22" s="49"/>
      <c r="T22" s="49"/>
      <c r="U22" s="49"/>
      <c r="V22" s="49"/>
      <c r="W22" s="16"/>
      <c r="X22" s="16"/>
      <c r="Y22" s="16"/>
      <c r="Z22" s="16"/>
      <c r="AA22" s="16"/>
      <c r="AB22" s="16"/>
      <c r="AC22" s="16"/>
      <c r="AD22" s="16"/>
      <c r="AE22" s="16"/>
      <c r="AF22" s="16"/>
      <c r="AG22" s="16"/>
      <c r="AH22" s="16"/>
      <c r="AI22" s="16"/>
      <c r="AJ22" s="16"/>
      <c r="AK22" s="16"/>
      <c r="AL22" s="16"/>
      <c r="AM22" s="16"/>
      <c r="AN22" s="16"/>
      <c r="AO22" s="16"/>
      <c r="AP22" s="16"/>
      <c r="AQ22" s="16"/>
    </row>
    <row r="23" customFormat="false" ht="15.75" hidden="false" customHeight="true" outlineLevel="0" collapsed="false">
      <c r="A23" s="17"/>
      <c r="B23" s="34" t="s">
        <v>88</v>
      </c>
      <c r="C23" s="34"/>
      <c r="D23" s="50" t="e">
        <f aca="false">IF( AND(COUNT(D17:G17)=1,COUNT(D18:G18)=1,COUNT(D19:G19)=1,COUNT(D20:G20)=1), (SUM(F17:F20) + (SUM(E17:E20)/2)) / COUNTBLANK(G17:G20), "Error - check cell values")</f>
        <v>#DIV/0!</v>
      </c>
      <c r="E23" s="50"/>
      <c r="F23" s="51" t="n">
        <f aca="false">COUNTBLANK(G17:G20)</f>
        <v>0</v>
      </c>
      <c r="G23" s="51" t="n">
        <f aca="false">ROWS(G17:G20)</f>
        <v>4</v>
      </c>
      <c r="H23" s="52" t="s">
        <v>88</v>
      </c>
      <c r="I23" s="50" t="e">
        <f aca="false">IF( AND(COUNT(I17:L17)=1,COUNT(I18:L18)=1,COUNT(I19:L19)=1,COUNT(I20:L20)=1,COUNT(I21:L21)=1,COUNT(I22:L22)=1), (SUM(K17:K22) + (SUM(J17:J22)/2)) / COUNTBLANK(L17:L22), "Error - check cell values")</f>
        <v>#DIV/0!</v>
      </c>
      <c r="J23" s="50"/>
      <c r="K23" s="51" t="n">
        <f aca="false">COUNTBLANK(L17:L22)</f>
        <v>0</v>
      </c>
      <c r="L23" s="51" t="n">
        <f aca="false">ROWS(L17:L22)</f>
        <v>6</v>
      </c>
      <c r="M23" s="52" t="s">
        <v>88</v>
      </c>
      <c r="N23" s="50" t="e">
        <f aca="false">IF( AND(COUNT(N17:Q17)=1,COUNT(N18:Q18)=1,COUNT(N19:Q19)=1,COUNT(N20:Q20)=1,COUNT(N21:Q21)=1,COUNT(N22:Q22)=1), (SUM(P17:P22) + (SUM(O17:O22)/2)) / COUNTBLANK(Q17:Q22), "Error - check cell values")</f>
        <v>#DIV/0!</v>
      </c>
      <c r="O23" s="50"/>
      <c r="P23" s="51" t="n">
        <f aca="false">COUNTBLANK(Q17:Q22)</f>
        <v>0</v>
      </c>
      <c r="Q23" s="51" t="n">
        <f aca="false">ROWS(Q17:Q22)</f>
        <v>6</v>
      </c>
      <c r="R23" s="52" t="s">
        <v>88</v>
      </c>
      <c r="S23" s="50" t="e">
        <f aca="false">IF( AND(COUNT(S17:V17)=1,COUNT(S18:V18)=1,COUNT(S19:V19)=1,COUNT(S20:V20)=1,COUNT(S21:V21)=1), (SUM(U17:U21) + (SUM(T17:T21)/2)) / COUNTBLANK(V17:V21), "Error - check cell values")</f>
        <v>#DIV/0!</v>
      </c>
      <c r="T23" s="50"/>
      <c r="U23" s="51" t="n">
        <f aca="false">COUNTBLANK(V17:V21)</f>
        <v>0</v>
      </c>
      <c r="V23" s="51" t="n">
        <f aca="false">ROWS(V17:V21)</f>
        <v>5</v>
      </c>
      <c r="W23" s="53"/>
      <c r="X23" s="53"/>
      <c r="Y23" s="53"/>
      <c r="Z23" s="53"/>
      <c r="AA23" s="53"/>
      <c r="AB23" s="53"/>
      <c r="AC23" s="53"/>
      <c r="AD23" s="53"/>
      <c r="AE23" s="53"/>
      <c r="AF23" s="53"/>
      <c r="AG23" s="53"/>
      <c r="AH23" s="53"/>
      <c r="AI23" s="53"/>
      <c r="AJ23" s="53"/>
      <c r="AK23" s="53"/>
      <c r="AL23" s="53"/>
      <c r="AM23" s="53"/>
      <c r="AN23" s="53"/>
      <c r="AO23" s="53"/>
      <c r="AP23" s="53"/>
      <c r="AQ23" s="53"/>
    </row>
    <row r="24" customFormat="false" ht="28.45" hidden="false" customHeight="false" outlineLevel="0" collapsed="false">
      <c r="A24" s="17"/>
      <c r="B24" s="37"/>
      <c r="C24" s="37"/>
      <c r="D24" s="38" t="s">
        <v>77</v>
      </c>
      <c r="E24" s="38" t="s">
        <v>89</v>
      </c>
      <c r="F24" s="38" t="s">
        <v>78</v>
      </c>
      <c r="G24" s="38" t="s">
        <v>90</v>
      </c>
      <c r="H24" s="39"/>
      <c r="I24" s="38" t="s">
        <v>77</v>
      </c>
      <c r="J24" s="38" t="s">
        <v>89</v>
      </c>
      <c r="K24" s="38" t="s">
        <v>78</v>
      </c>
      <c r="L24" s="38" t="s">
        <v>90</v>
      </c>
      <c r="M24" s="39"/>
      <c r="N24" s="38" t="s">
        <v>77</v>
      </c>
      <c r="O24" s="38" t="s">
        <v>89</v>
      </c>
      <c r="P24" s="38" t="s">
        <v>78</v>
      </c>
      <c r="Q24" s="38" t="s">
        <v>90</v>
      </c>
      <c r="R24" s="39"/>
      <c r="S24" s="38" t="s">
        <v>77</v>
      </c>
      <c r="T24" s="38" t="s">
        <v>89</v>
      </c>
      <c r="U24" s="38" t="s">
        <v>78</v>
      </c>
      <c r="V24" s="38" t="s">
        <v>90</v>
      </c>
      <c r="W24" s="16"/>
      <c r="X24" s="16"/>
      <c r="Y24" s="16"/>
      <c r="Z24" s="16"/>
      <c r="AA24" s="16"/>
      <c r="AB24" s="16"/>
      <c r="AC24" s="16"/>
      <c r="AD24" s="16"/>
      <c r="AE24" s="16"/>
      <c r="AF24" s="16"/>
      <c r="AG24" s="16"/>
      <c r="AH24" s="16"/>
      <c r="AI24" s="16"/>
      <c r="AJ24" s="16"/>
      <c r="AK24" s="16"/>
      <c r="AL24" s="16"/>
      <c r="AM24" s="16"/>
      <c r="AN24" s="16"/>
      <c r="AO24" s="16"/>
      <c r="AP24" s="16"/>
      <c r="AQ24" s="16"/>
    </row>
    <row r="25" customFormat="false" ht="41.75" hidden="false" customHeight="true" outlineLevel="0" collapsed="false">
      <c r="A25" s="17"/>
      <c r="B25" s="40" t="s">
        <v>114</v>
      </c>
      <c r="C25" s="26" t="s">
        <v>115</v>
      </c>
      <c r="D25" s="22"/>
      <c r="E25" s="22"/>
      <c r="F25" s="22"/>
      <c r="G25" s="22" t="n">
        <v>1</v>
      </c>
      <c r="H25" s="42" t="s">
        <v>116</v>
      </c>
      <c r="I25" s="22"/>
      <c r="J25" s="22"/>
      <c r="K25" s="22"/>
      <c r="L25" s="22" t="n">
        <v>1</v>
      </c>
      <c r="M25" s="42" t="s">
        <v>117</v>
      </c>
      <c r="N25" s="22"/>
      <c r="O25" s="22"/>
      <c r="P25" s="22"/>
      <c r="Q25" s="22" t="n">
        <v>1</v>
      </c>
      <c r="R25" s="42" t="s">
        <v>118</v>
      </c>
      <c r="S25" s="22"/>
      <c r="T25" s="22"/>
      <c r="U25" s="22"/>
      <c r="V25" s="22" t="n">
        <v>1</v>
      </c>
      <c r="W25" s="16"/>
      <c r="X25" s="16"/>
      <c r="Y25" s="16"/>
      <c r="Z25" s="16"/>
      <c r="AA25" s="16"/>
      <c r="AB25" s="16"/>
      <c r="AC25" s="16"/>
      <c r="AD25" s="16"/>
      <c r="AE25" s="16"/>
      <c r="AF25" s="16"/>
      <c r="AG25" s="16"/>
      <c r="AH25" s="16"/>
      <c r="AI25" s="16"/>
      <c r="AJ25" s="16"/>
      <c r="AK25" s="16"/>
      <c r="AL25" s="16"/>
      <c r="AM25" s="16"/>
      <c r="AN25" s="16"/>
      <c r="AO25" s="16"/>
      <c r="AP25" s="16"/>
      <c r="AQ25" s="16"/>
    </row>
    <row r="26" customFormat="false" ht="55.6" hidden="false" customHeight="false" outlineLevel="0" collapsed="false">
      <c r="A26" s="17"/>
      <c r="B26" s="17"/>
      <c r="C26" s="42" t="s">
        <v>119</v>
      </c>
      <c r="D26" s="22"/>
      <c r="E26" s="22"/>
      <c r="F26" s="22"/>
      <c r="G26" s="22" t="n">
        <v>1</v>
      </c>
      <c r="H26" s="26" t="s">
        <v>120</v>
      </c>
      <c r="I26" s="22"/>
      <c r="J26" s="22"/>
      <c r="K26" s="22"/>
      <c r="L26" s="22" t="n">
        <v>1</v>
      </c>
      <c r="M26" s="26" t="s">
        <v>121</v>
      </c>
      <c r="N26" s="22"/>
      <c r="O26" s="22"/>
      <c r="P26" s="22"/>
      <c r="Q26" s="22" t="n">
        <v>1</v>
      </c>
      <c r="R26" s="42" t="s">
        <v>122</v>
      </c>
      <c r="S26" s="22"/>
      <c r="T26" s="22"/>
      <c r="U26" s="22"/>
      <c r="V26" s="22" t="n">
        <v>1</v>
      </c>
      <c r="W26" s="16"/>
      <c r="X26" s="16"/>
      <c r="Y26" s="16"/>
      <c r="Z26" s="16"/>
      <c r="AA26" s="16"/>
      <c r="AB26" s="16"/>
      <c r="AC26" s="16"/>
      <c r="AD26" s="16"/>
      <c r="AE26" s="16"/>
      <c r="AF26" s="16"/>
      <c r="AG26" s="16"/>
      <c r="AH26" s="16"/>
      <c r="AI26" s="16"/>
      <c r="AJ26" s="16"/>
      <c r="AK26" s="16"/>
      <c r="AL26" s="16"/>
      <c r="AM26" s="16"/>
      <c r="AN26" s="16"/>
      <c r="AO26" s="16"/>
      <c r="AP26" s="16"/>
      <c r="AQ26" s="16"/>
    </row>
    <row r="27" customFormat="false" ht="28.45" hidden="false" customHeight="false" outlineLevel="0" collapsed="false">
      <c r="A27" s="17"/>
      <c r="B27" s="17"/>
      <c r="C27" s="42" t="s">
        <v>123</v>
      </c>
      <c r="D27" s="22"/>
      <c r="E27" s="22"/>
      <c r="F27" s="22"/>
      <c r="G27" s="22" t="n">
        <v>1</v>
      </c>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row>
    <row r="28" customFormat="false" ht="15.75" hidden="false" customHeight="true" outlineLevel="0" collapsed="false">
      <c r="A28" s="17"/>
      <c r="B28" s="34" t="s">
        <v>88</v>
      </c>
      <c r="C28" s="34"/>
      <c r="D28" s="50" t="e">
        <f aca="false">IF( AND(COUNT(D25:G25)=1,COUNT(D26:G26)=1,COUNT(D27:G27)=1), (SUM(F25:F27) + (SUM(E25:E27)/2)) / COUNTBLANK(G25:G27), "Error - check cell values")</f>
        <v>#DIV/0!</v>
      </c>
      <c r="E28" s="50"/>
      <c r="F28" s="51" t="n">
        <f aca="false">COUNTBLANK(G25:G27)</f>
        <v>0</v>
      </c>
      <c r="G28" s="51" t="n">
        <f aca="false">ROWS(G25:G27)</f>
        <v>3</v>
      </c>
      <c r="H28" s="52" t="s">
        <v>88</v>
      </c>
      <c r="I28" s="50" t="e">
        <f aca="false">IF( AND(COUNT(I25:L25)=1,COUNT(I26:L26)=1), (SUM(K25:K26) + (SUM(J25:J26)/2)) / COUNTBLANK(L25:L26), "Error - check cell values")</f>
        <v>#DIV/0!</v>
      </c>
      <c r="J28" s="50"/>
      <c r="K28" s="51" t="n">
        <f aca="false">COUNTBLANK(L25:L26)</f>
        <v>0</v>
      </c>
      <c r="L28" s="51" t="n">
        <f aca="false">ROWS(L25:L26)</f>
        <v>2</v>
      </c>
      <c r="M28" s="52" t="s">
        <v>88</v>
      </c>
      <c r="N28" s="50" t="e">
        <f aca="false">IF( AND(COUNT(N25:Q25)=1,COUNT(N26:Q26)=1), (SUM(P25:P26) + (SUM(O25:O26)/2)) / COUNTBLANK(Q25:Q26), "Error - check cell values")</f>
        <v>#DIV/0!</v>
      </c>
      <c r="O28" s="50"/>
      <c r="P28" s="51" t="n">
        <f aca="false">COUNTBLANK(Q25:Q26)</f>
        <v>0</v>
      </c>
      <c r="Q28" s="51" t="n">
        <f aca="false">ROWS(Q25:Q26)</f>
        <v>2</v>
      </c>
      <c r="R28" s="52" t="s">
        <v>88</v>
      </c>
      <c r="S28" s="50" t="e">
        <f aca="false">IF( AND(COUNT(S25:V25)=1,COUNT(S26:V26)=1), (SUM(U25:U26) + (SUM(T25:T26)/2)) / COUNTBLANK(V25:V26), "Error - check cell values")</f>
        <v>#DIV/0!</v>
      </c>
      <c r="T28" s="50"/>
      <c r="U28" s="51" t="n">
        <f aca="false">COUNTBLANK(V25:V26)</f>
        <v>0</v>
      </c>
      <c r="V28" s="51" t="n">
        <f aca="false">ROWS(V25:V26)</f>
        <v>2</v>
      </c>
      <c r="W28" s="53"/>
      <c r="X28" s="53"/>
      <c r="Y28" s="53"/>
      <c r="Z28" s="53"/>
      <c r="AA28" s="53"/>
      <c r="AB28" s="53"/>
      <c r="AC28" s="53"/>
      <c r="AD28" s="53"/>
      <c r="AE28" s="53"/>
      <c r="AF28" s="53"/>
      <c r="AG28" s="53"/>
      <c r="AH28" s="53"/>
      <c r="AI28" s="53"/>
      <c r="AJ28" s="53"/>
      <c r="AK28" s="53"/>
      <c r="AL28" s="53"/>
      <c r="AM28" s="53"/>
      <c r="AN28" s="53"/>
      <c r="AO28" s="53"/>
      <c r="AP28" s="53"/>
      <c r="AQ28" s="53"/>
    </row>
    <row r="29" customFormat="false" ht="28.45" hidden="false" customHeight="false" outlineLevel="0" collapsed="false">
      <c r="A29" s="17"/>
      <c r="B29" s="54"/>
      <c r="C29" s="54"/>
      <c r="D29" s="38" t="s">
        <v>77</v>
      </c>
      <c r="E29" s="38" t="s">
        <v>89</v>
      </c>
      <c r="F29" s="38" t="s">
        <v>78</v>
      </c>
      <c r="G29" s="38" t="s">
        <v>90</v>
      </c>
      <c r="H29" s="39"/>
      <c r="I29" s="38" t="s">
        <v>77</v>
      </c>
      <c r="J29" s="38" t="s">
        <v>89</v>
      </c>
      <c r="K29" s="38" t="s">
        <v>78</v>
      </c>
      <c r="L29" s="38" t="s">
        <v>90</v>
      </c>
      <c r="M29" s="39"/>
      <c r="N29" s="38" t="s">
        <v>77</v>
      </c>
      <c r="O29" s="38" t="s">
        <v>89</v>
      </c>
      <c r="P29" s="38" t="s">
        <v>78</v>
      </c>
      <c r="Q29" s="38" t="s">
        <v>90</v>
      </c>
      <c r="R29" s="39"/>
      <c r="S29" s="38" t="s">
        <v>77</v>
      </c>
      <c r="T29" s="38" t="s">
        <v>89</v>
      </c>
      <c r="U29" s="38" t="s">
        <v>78</v>
      </c>
      <c r="V29" s="38" t="s">
        <v>90</v>
      </c>
      <c r="W29" s="16"/>
      <c r="X29" s="16"/>
      <c r="Y29" s="16"/>
      <c r="Z29" s="16"/>
      <c r="AA29" s="16"/>
      <c r="AB29" s="16"/>
      <c r="AC29" s="16"/>
      <c r="AD29" s="16"/>
      <c r="AE29" s="16"/>
      <c r="AF29" s="16"/>
      <c r="AG29" s="16"/>
      <c r="AH29" s="16"/>
      <c r="AI29" s="16"/>
      <c r="AJ29" s="16"/>
      <c r="AK29" s="16"/>
      <c r="AL29" s="16"/>
      <c r="AM29" s="16"/>
      <c r="AN29" s="16"/>
      <c r="AO29" s="16"/>
      <c r="AP29" s="16"/>
      <c r="AQ29" s="16"/>
    </row>
    <row r="30" customFormat="false" ht="55.2" hidden="false" customHeight="true" outlineLevel="0" collapsed="false">
      <c r="A30" s="17"/>
      <c r="B30" s="40" t="s">
        <v>124</v>
      </c>
      <c r="C30" s="26" t="s">
        <v>125</v>
      </c>
      <c r="D30" s="22"/>
      <c r="E30" s="22"/>
      <c r="F30" s="22"/>
      <c r="G30" s="22" t="n">
        <v>1</v>
      </c>
      <c r="H30" s="26" t="s">
        <v>126</v>
      </c>
      <c r="I30" s="22"/>
      <c r="J30" s="22"/>
      <c r="K30" s="22"/>
      <c r="L30" s="22" t="n">
        <v>1</v>
      </c>
      <c r="M30" s="26" t="s">
        <v>127</v>
      </c>
      <c r="N30" s="22"/>
      <c r="O30" s="22"/>
      <c r="P30" s="22"/>
      <c r="Q30" s="22" t="n">
        <v>1</v>
      </c>
      <c r="R30" s="26" t="s">
        <v>128</v>
      </c>
      <c r="S30" s="22"/>
      <c r="T30" s="22"/>
      <c r="U30" s="22"/>
      <c r="V30" s="22" t="n">
        <v>1</v>
      </c>
      <c r="W30" s="16"/>
      <c r="X30" s="16"/>
      <c r="Y30" s="16"/>
      <c r="Z30" s="16"/>
      <c r="AA30" s="16"/>
      <c r="AB30" s="16"/>
      <c r="AC30" s="16"/>
      <c r="AD30" s="16"/>
      <c r="AE30" s="16"/>
      <c r="AF30" s="16"/>
      <c r="AG30" s="16"/>
      <c r="AH30" s="16"/>
      <c r="AI30" s="16"/>
      <c r="AJ30" s="16"/>
      <c r="AK30" s="16"/>
      <c r="AL30" s="16"/>
      <c r="AM30" s="16"/>
      <c r="AN30" s="16"/>
      <c r="AO30" s="16"/>
      <c r="AP30" s="16"/>
      <c r="AQ30" s="16"/>
    </row>
    <row r="31" customFormat="false" ht="82.05" hidden="false" customHeight="false" outlineLevel="0" collapsed="false">
      <c r="A31" s="17"/>
      <c r="B31" s="17"/>
      <c r="C31" s="42" t="s">
        <v>129</v>
      </c>
      <c r="D31" s="22"/>
      <c r="E31" s="22"/>
      <c r="F31" s="22"/>
      <c r="G31" s="22" t="n">
        <v>1</v>
      </c>
      <c r="H31" s="26" t="s">
        <v>130</v>
      </c>
      <c r="I31" s="22"/>
      <c r="J31" s="22"/>
      <c r="K31" s="22"/>
      <c r="L31" s="22" t="n">
        <v>1</v>
      </c>
      <c r="M31" s="26" t="s">
        <v>131</v>
      </c>
      <c r="N31" s="22"/>
      <c r="O31" s="22"/>
      <c r="P31" s="22"/>
      <c r="Q31" s="22" t="n">
        <v>1</v>
      </c>
      <c r="R31" s="26" t="s">
        <v>132</v>
      </c>
      <c r="S31" s="22"/>
      <c r="T31" s="22"/>
      <c r="U31" s="22"/>
      <c r="V31" s="22" t="n">
        <v>1</v>
      </c>
      <c r="W31" s="16"/>
      <c r="X31" s="16"/>
      <c r="Y31" s="16"/>
      <c r="Z31" s="16"/>
      <c r="AA31" s="16"/>
      <c r="AB31" s="16"/>
      <c r="AC31" s="16"/>
      <c r="AD31" s="16"/>
      <c r="AE31" s="16"/>
      <c r="AF31" s="16"/>
      <c r="AG31" s="16"/>
      <c r="AH31" s="16"/>
      <c r="AI31" s="16"/>
      <c r="AJ31" s="16"/>
      <c r="AK31" s="16"/>
      <c r="AL31" s="16"/>
      <c r="AM31" s="16"/>
      <c r="AN31" s="16"/>
      <c r="AO31" s="16"/>
      <c r="AP31" s="16"/>
      <c r="AQ31" s="16"/>
    </row>
    <row r="32" customFormat="false" ht="68.65" hidden="false" customHeight="false" outlineLevel="0" collapsed="false">
      <c r="A32" s="17"/>
      <c r="B32" s="17"/>
      <c r="C32" s="42" t="s">
        <v>133</v>
      </c>
      <c r="D32" s="22"/>
      <c r="E32" s="22"/>
      <c r="F32" s="22"/>
      <c r="G32" s="22" t="n">
        <v>1</v>
      </c>
      <c r="H32" s="26" t="s">
        <v>134</v>
      </c>
      <c r="I32" s="22"/>
      <c r="J32" s="22"/>
      <c r="K32" s="22"/>
      <c r="L32" s="22" t="n">
        <v>1</v>
      </c>
      <c r="M32" s="42" t="s">
        <v>135</v>
      </c>
      <c r="N32" s="22"/>
      <c r="O32" s="22"/>
      <c r="P32" s="22"/>
      <c r="Q32" s="22" t="n">
        <v>1</v>
      </c>
      <c r="R32" s="26" t="s">
        <v>136</v>
      </c>
      <c r="S32" s="22"/>
      <c r="T32" s="22"/>
      <c r="U32" s="22"/>
      <c r="V32" s="22" t="n">
        <v>1</v>
      </c>
      <c r="W32" s="16"/>
      <c r="X32" s="16"/>
      <c r="Y32" s="16"/>
      <c r="Z32" s="16"/>
      <c r="AA32" s="16"/>
      <c r="AB32" s="16"/>
      <c r="AC32" s="16"/>
      <c r="AD32" s="16"/>
      <c r="AE32" s="16"/>
      <c r="AF32" s="16"/>
      <c r="AG32" s="16"/>
      <c r="AH32" s="16"/>
      <c r="AI32" s="16"/>
      <c r="AJ32" s="16"/>
      <c r="AK32" s="16"/>
      <c r="AL32" s="16"/>
      <c r="AM32" s="16"/>
      <c r="AN32" s="16"/>
      <c r="AO32" s="16"/>
      <c r="AP32" s="16"/>
      <c r="AQ32" s="16"/>
    </row>
    <row r="33" customFormat="false" ht="41.75" hidden="false" customHeight="false" outlineLevel="0" collapsed="false">
      <c r="A33" s="17"/>
      <c r="B33" s="17"/>
      <c r="C33" s="42" t="s">
        <v>137</v>
      </c>
      <c r="D33" s="22"/>
      <c r="E33" s="22"/>
      <c r="F33" s="22"/>
      <c r="G33" s="22" t="n">
        <v>1</v>
      </c>
      <c r="H33" s="26" t="s">
        <v>138</v>
      </c>
      <c r="I33" s="22"/>
      <c r="J33" s="22"/>
      <c r="K33" s="22"/>
      <c r="L33" s="22" t="n">
        <v>1</v>
      </c>
      <c r="M33" s="42" t="s">
        <v>139</v>
      </c>
      <c r="N33" s="22"/>
      <c r="O33" s="22"/>
      <c r="P33" s="22"/>
      <c r="Q33" s="22" t="n">
        <v>1</v>
      </c>
      <c r="R33" s="26" t="s">
        <v>140</v>
      </c>
      <c r="S33" s="22"/>
      <c r="T33" s="22"/>
      <c r="U33" s="22"/>
      <c r="V33" s="22" t="n">
        <v>1</v>
      </c>
      <c r="W33" s="16"/>
      <c r="X33" s="16"/>
      <c r="Y33" s="16"/>
      <c r="Z33" s="16"/>
      <c r="AA33" s="16"/>
      <c r="AB33" s="16"/>
      <c r="AC33" s="16"/>
      <c r="AD33" s="16"/>
      <c r="AE33" s="16"/>
      <c r="AF33" s="16"/>
      <c r="AG33" s="16"/>
      <c r="AH33" s="16"/>
      <c r="AI33" s="16"/>
      <c r="AJ33" s="16"/>
      <c r="AK33" s="16"/>
      <c r="AL33" s="16"/>
      <c r="AM33" s="16"/>
      <c r="AN33" s="16"/>
      <c r="AO33" s="16"/>
      <c r="AP33" s="16"/>
      <c r="AQ33" s="16"/>
    </row>
    <row r="34" customFormat="false" ht="41.75" hidden="false" customHeight="false" outlineLevel="0" collapsed="false">
      <c r="A34" s="17"/>
      <c r="B34" s="17"/>
      <c r="C34" s="42" t="s">
        <v>141</v>
      </c>
      <c r="D34" s="22"/>
      <c r="E34" s="22"/>
      <c r="F34" s="22"/>
      <c r="G34" s="22" t="n">
        <v>1</v>
      </c>
      <c r="H34" s="26" t="s">
        <v>142</v>
      </c>
      <c r="I34" s="22"/>
      <c r="J34" s="22"/>
      <c r="K34" s="22"/>
      <c r="L34" s="22" t="n">
        <v>1</v>
      </c>
      <c r="M34" s="42" t="s">
        <v>143</v>
      </c>
      <c r="N34" s="22"/>
      <c r="O34" s="22"/>
      <c r="P34" s="22"/>
      <c r="Q34" s="22" t="n">
        <v>1</v>
      </c>
      <c r="R34" s="26" t="s">
        <v>144</v>
      </c>
      <c r="S34" s="22"/>
      <c r="T34" s="22"/>
      <c r="U34" s="22"/>
      <c r="V34" s="22" t="n">
        <v>1</v>
      </c>
      <c r="W34" s="16"/>
      <c r="X34" s="16"/>
      <c r="Y34" s="16"/>
      <c r="Z34" s="16"/>
      <c r="AA34" s="16"/>
      <c r="AB34" s="16"/>
      <c r="AC34" s="16"/>
      <c r="AD34" s="16"/>
      <c r="AE34" s="16"/>
      <c r="AF34" s="16"/>
      <c r="AG34" s="16"/>
      <c r="AH34" s="16"/>
      <c r="AI34" s="16"/>
      <c r="AJ34" s="16"/>
      <c r="AK34" s="16"/>
      <c r="AL34" s="16"/>
      <c r="AM34" s="16"/>
      <c r="AN34" s="16"/>
      <c r="AO34" s="16"/>
      <c r="AP34" s="16"/>
      <c r="AQ34" s="16"/>
    </row>
    <row r="35" customFormat="false" ht="96.3" hidden="false" customHeight="false" outlineLevel="0" collapsed="false">
      <c r="A35" s="17"/>
      <c r="B35" s="17"/>
      <c r="C35" s="27"/>
      <c r="D35" s="27"/>
      <c r="E35" s="27"/>
      <c r="F35" s="27"/>
      <c r="G35" s="27"/>
      <c r="H35" s="26" t="s">
        <v>145</v>
      </c>
      <c r="I35" s="22"/>
      <c r="J35" s="22"/>
      <c r="K35" s="22"/>
      <c r="L35" s="22" t="n">
        <v>1</v>
      </c>
      <c r="M35" s="42" t="s">
        <v>146</v>
      </c>
      <c r="N35" s="22"/>
      <c r="O35" s="22"/>
      <c r="P35" s="22"/>
      <c r="Q35" s="22" t="n">
        <v>1</v>
      </c>
      <c r="R35" s="55" t="s">
        <v>147</v>
      </c>
      <c r="S35" s="22"/>
      <c r="T35" s="22"/>
      <c r="U35" s="22"/>
      <c r="V35" s="22" t="n">
        <v>1</v>
      </c>
      <c r="W35" s="16"/>
      <c r="X35" s="16"/>
      <c r="Y35" s="16"/>
      <c r="Z35" s="16"/>
      <c r="AA35" s="16"/>
      <c r="AB35" s="16"/>
      <c r="AC35" s="16"/>
      <c r="AD35" s="16"/>
      <c r="AE35" s="16"/>
      <c r="AF35" s="16"/>
      <c r="AG35" s="16"/>
      <c r="AH35" s="16"/>
      <c r="AI35" s="16"/>
      <c r="AJ35" s="16"/>
      <c r="AK35" s="16"/>
      <c r="AL35" s="16"/>
      <c r="AM35" s="16"/>
      <c r="AN35" s="16"/>
      <c r="AO35" s="16"/>
      <c r="AP35" s="16"/>
      <c r="AQ35" s="16"/>
    </row>
    <row r="36" customFormat="false" ht="41.75" hidden="false" customHeight="false" outlineLevel="0" collapsed="false">
      <c r="A36" s="17"/>
      <c r="B36" s="17"/>
      <c r="C36" s="17"/>
      <c r="D36" s="27"/>
      <c r="E36" s="27"/>
      <c r="F36" s="27"/>
      <c r="G36" s="27"/>
      <c r="H36" s="56"/>
      <c r="I36" s="56"/>
      <c r="J36" s="56"/>
      <c r="K36" s="56"/>
      <c r="L36" s="56"/>
      <c r="M36" s="26" t="s">
        <v>148</v>
      </c>
      <c r="N36" s="22"/>
      <c r="O36" s="22"/>
      <c r="P36" s="22"/>
      <c r="Q36" s="22" t="n">
        <v>1</v>
      </c>
      <c r="R36" s="57"/>
      <c r="S36" s="57"/>
      <c r="T36" s="57"/>
      <c r="U36" s="57"/>
      <c r="V36" s="57"/>
      <c r="W36" s="16"/>
      <c r="X36" s="16"/>
      <c r="Y36" s="16"/>
      <c r="Z36" s="16"/>
      <c r="AA36" s="16"/>
      <c r="AB36" s="16"/>
      <c r="AC36" s="16"/>
      <c r="AD36" s="16"/>
      <c r="AE36" s="16"/>
      <c r="AF36" s="16"/>
      <c r="AG36" s="16"/>
      <c r="AH36" s="16"/>
      <c r="AI36" s="16"/>
      <c r="AJ36" s="16"/>
      <c r="AK36" s="16"/>
      <c r="AL36" s="16"/>
      <c r="AM36" s="16"/>
      <c r="AN36" s="16"/>
      <c r="AO36" s="16"/>
      <c r="AP36" s="16"/>
      <c r="AQ36" s="16"/>
    </row>
    <row r="37" customFormat="false" ht="61.05" hidden="false" customHeight="false" outlineLevel="0" collapsed="false">
      <c r="A37" s="17"/>
      <c r="B37" s="17"/>
      <c r="C37" s="17"/>
      <c r="D37" s="27"/>
      <c r="E37" s="27"/>
      <c r="F37" s="27"/>
      <c r="G37" s="27"/>
      <c r="H37" s="56"/>
      <c r="I37" s="56"/>
      <c r="J37" s="56"/>
      <c r="K37" s="56"/>
      <c r="L37" s="56"/>
      <c r="M37" s="58" t="s">
        <v>149</v>
      </c>
      <c r="N37" s="59"/>
      <c r="O37" s="59"/>
      <c r="P37" s="59"/>
      <c r="Q37" s="59" t="n">
        <v>1</v>
      </c>
      <c r="R37" s="57"/>
      <c r="S37" s="57"/>
      <c r="T37" s="57"/>
      <c r="U37" s="57"/>
      <c r="V37" s="57"/>
      <c r="W37" s="16"/>
      <c r="X37" s="16"/>
      <c r="Y37" s="16"/>
      <c r="Z37" s="16"/>
      <c r="AA37" s="16"/>
      <c r="AB37" s="16"/>
      <c r="AC37" s="16"/>
      <c r="AD37" s="16"/>
      <c r="AE37" s="16"/>
      <c r="AF37" s="16"/>
      <c r="AG37" s="16"/>
      <c r="AH37" s="16"/>
      <c r="AI37" s="16"/>
      <c r="AJ37" s="16"/>
      <c r="AK37" s="16"/>
      <c r="AL37" s="16"/>
      <c r="AM37" s="16"/>
      <c r="AN37" s="16"/>
      <c r="AO37" s="16"/>
      <c r="AP37" s="16"/>
      <c r="AQ37" s="16"/>
    </row>
    <row r="38" customFormat="false" ht="31.3" hidden="false" customHeight="false" outlineLevel="0" collapsed="false">
      <c r="A38" s="17"/>
      <c r="B38" s="17"/>
      <c r="C38" s="17"/>
      <c r="D38" s="27"/>
      <c r="E38" s="27"/>
      <c r="F38" s="27"/>
      <c r="G38" s="27"/>
      <c r="H38" s="56"/>
      <c r="I38" s="56"/>
      <c r="J38" s="56"/>
      <c r="K38" s="56"/>
      <c r="L38" s="56"/>
      <c r="M38" s="58" t="s">
        <v>150</v>
      </c>
      <c r="N38" s="59"/>
      <c r="O38" s="59"/>
      <c r="P38" s="59"/>
      <c r="Q38" s="59" t="n">
        <v>1</v>
      </c>
      <c r="R38" s="57"/>
      <c r="S38" s="57"/>
      <c r="T38" s="57"/>
      <c r="U38" s="57"/>
      <c r="V38" s="57"/>
      <c r="W38" s="16"/>
      <c r="X38" s="16"/>
      <c r="Y38" s="16"/>
      <c r="Z38" s="16"/>
      <c r="AA38" s="16"/>
      <c r="AB38" s="16"/>
      <c r="AC38" s="16"/>
      <c r="AD38" s="16"/>
      <c r="AE38" s="16"/>
      <c r="AF38" s="16"/>
      <c r="AG38" s="16"/>
      <c r="AH38" s="16"/>
      <c r="AI38" s="16"/>
      <c r="AJ38" s="16"/>
      <c r="AK38" s="16"/>
      <c r="AL38" s="16"/>
      <c r="AM38" s="16"/>
      <c r="AN38" s="16"/>
      <c r="AO38" s="16"/>
      <c r="AP38" s="16"/>
      <c r="AQ38" s="16"/>
    </row>
    <row r="39" customFormat="false" ht="15.75" hidden="false" customHeight="true" outlineLevel="0" collapsed="false">
      <c r="A39" s="60"/>
      <c r="B39" s="34" t="s">
        <v>88</v>
      </c>
      <c r="C39" s="34"/>
      <c r="D39" s="50" t="e">
        <f aca="false">IF( AND(COUNT(D30:G30)=1,COUNT(D31:G31)=1,COUNT(D32:G32)=1,COUNT(D33:G33)=1,COUNT(D34:G34)=1), (SUM(F30:F34) + (SUM(E30:E34)/2)) / COUNTBLANK(G30:G34), "Error - check cell values")</f>
        <v>#DIV/0!</v>
      </c>
      <c r="E39" s="50"/>
      <c r="F39" s="51" t="n">
        <f aca="false">COUNTBLANK(G30:G34)</f>
        <v>0</v>
      </c>
      <c r="G39" s="51" t="n">
        <f aca="false">ROWS(G30:G34)</f>
        <v>5</v>
      </c>
      <c r="H39" s="52" t="s">
        <v>88</v>
      </c>
      <c r="I39" s="50" t="e">
        <f aca="false">IF( AND(COUNT(I30:L30)=1,COUNT(I31:L31)=1,COUNT(I32:L32)=1,COUNT(I33:L33)=1,COUNT(I34:L34)=1,COUNT(I35:L35)=1), (SUM(K30:K35) + (SUM(J30:J35)/2)) / COUNTBLANK(L30:L35), "Error - check cell values")</f>
        <v>#DIV/0!</v>
      </c>
      <c r="J39" s="50"/>
      <c r="K39" s="51" t="n">
        <f aca="false">COUNTBLANK(L30:L35)</f>
        <v>0</v>
      </c>
      <c r="L39" s="51" t="n">
        <f aca="false">ROWS(L30:L35)</f>
        <v>6</v>
      </c>
      <c r="M39" s="52" t="s">
        <v>88</v>
      </c>
      <c r="N39" s="50" t="e">
        <f aca="false">IF( AND(COUNT(N30:Q30)=1,COUNT(N31:Q31)=1,COUNT(N32:Q32)=1,COUNT(N33:Q33)=1,COUNT(N34:Q34)=1,COUNT(N35:Q35)=1,COUNT(N36:Q36)=1,COUNT(N37:Q37)=1,COUNT(N38:Q38)=1), (SUM(P30:P38) + (SUM(O30:O38)/2)) / COUNTBLANK(Q30:Q38), "Error - check cell values")</f>
        <v>#DIV/0!</v>
      </c>
      <c r="O39" s="50"/>
      <c r="P39" s="51" t="n">
        <f aca="false">COUNTBLANK(Q30:Q38)</f>
        <v>0</v>
      </c>
      <c r="Q39" s="51" t="n">
        <f aca="false">ROWS(Q30:Q38)</f>
        <v>9</v>
      </c>
      <c r="R39" s="61" t="s">
        <v>88</v>
      </c>
      <c r="S39" s="50" t="e">
        <f aca="false">IF( AND(COUNT(S30:V30)=1,COUNT(S31:V31)=1,COUNT(S32:V32)=1,COUNT(S33:V33)=1,COUNT(S34:V34)=1,COUNT(S35:V35)=1), (SUM(U30:U35) + (SUM(T30:T35)/2)) / COUNTBLANK(V30:V35), "Error - check cell values")</f>
        <v>#DIV/0!</v>
      </c>
      <c r="T39" s="50"/>
      <c r="U39" s="51" t="n">
        <f aca="false">COUNTBLANK(V30:V35)</f>
        <v>0</v>
      </c>
      <c r="V39" s="51" t="n">
        <f aca="false">ROWS(V30:V35)</f>
        <v>6</v>
      </c>
      <c r="W39" s="16"/>
      <c r="X39" s="16"/>
      <c r="Y39" s="16"/>
      <c r="Z39" s="16"/>
      <c r="AA39" s="16"/>
      <c r="AB39" s="16"/>
      <c r="AC39" s="16"/>
      <c r="AD39" s="16"/>
      <c r="AE39" s="16"/>
      <c r="AF39" s="16"/>
      <c r="AG39" s="16"/>
      <c r="AH39" s="16"/>
      <c r="AI39" s="16"/>
      <c r="AJ39" s="16"/>
      <c r="AK39" s="16"/>
      <c r="AL39" s="16"/>
      <c r="AM39" s="16"/>
      <c r="AN39" s="16"/>
      <c r="AO39" s="16"/>
      <c r="AP39" s="16"/>
      <c r="AQ39" s="16"/>
    </row>
    <row r="40" customFormat="false" ht="28.45" hidden="false" customHeight="false" outlineLevel="0" collapsed="false">
      <c r="A40" s="62"/>
      <c r="B40" s="63"/>
      <c r="C40" s="63"/>
      <c r="D40" s="38" t="s">
        <v>77</v>
      </c>
      <c r="E40" s="38" t="s">
        <v>89</v>
      </c>
      <c r="F40" s="38" t="s">
        <v>78</v>
      </c>
      <c r="G40" s="38" t="s">
        <v>90</v>
      </c>
      <c r="H40" s="39"/>
      <c r="I40" s="38" t="s">
        <v>77</v>
      </c>
      <c r="J40" s="38" t="s">
        <v>89</v>
      </c>
      <c r="K40" s="38" t="s">
        <v>78</v>
      </c>
      <c r="L40" s="38" t="s">
        <v>90</v>
      </c>
      <c r="M40" s="39"/>
      <c r="N40" s="38" t="s">
        <v>77</v>
      </c>
      <c r="O40" s="38" t="s">
        <v>89</v>
      </c>
      <c r="P40" s="38" t="s">
        <v>78</v>
      </c>
      <c r="Q40" s="38" t="s">
        <v>90</v>
      </c>
      <c r="R40" s="39"/>
      <c r="S40" s="38" t="s">
        <v>77</v>
      </c>
      <c r="T40" s="38" t="s">
        <v>89</v>
      </c>
      <c r="U40" s="38" t="s">
        <v>78</v>
      </c>
      <c r="V40" s="38" t="s">
        <v>90</v>
      </c>
      <c r="W40" s="16"/>
      <c r="X40" s="16"/>
      <c r="Y40" s="16"/>
      <c r="Z40" s="16"/>
      <c r="AA40" s="16"/>
      <c r="AB40" s="16"/>
      <c r="AC40" s="16"/>
      <c r="AD40" s="16"/>
      <c r="AE40" s="16"/>
      <c r="AF40" s="16"/>
      <c r="AG40" s="16"/>
      <c r="AH40" s="16"/>
      <c r="AI40" s="16"/>
      <c r="AJ40" s="16"/>
      <c r="AK40" s="16"/>
      <c r="AL40" s="16"/>
      <c r="AM40" s="16"/>
      <c r="AN40" s="16"/>
      <c r="AO40" s="16"/>
      <c r="AP40" s="16"/>
      <c r="AQ40" s="16"/>
    </row>
    <row r="41" customFormat="false" ht="68.65" hidden="false" customHeight="true" outlineLevel="0" collapsed="false">
      <c r="A41" s="17" t="s">
        <v>151</v>
      </c>
      <c r="B41" s="40" t="s">
        <v>152</v>
      </c>
      <c r="C41" s="42" t="s">
        <v>153</v>
      </c>
      <c r="D41" s="22"/>
      <c r="E41" s="22"/>
      <c r="F41" s="22"/>
      <c r="G41" s="22" t="n">
        <v>1</v>
      </c>
      <c r="H41" s="26" t="s">
        <v>154</v>
      </c>
      <c r="I41" s="22"/>
      <c r="J41" s="22"/>
      <c r="K41" s="22"/>
      <c r="L41" s="22" t="n">
        <v>1</v>
      </c>
      <c r="M41" s="26" t="s">
        <v>155</v>
      </c>
      <c r="N41" s="22"/>
      <c r="O41" s="22"/>
      <c r="P41" s="22"/>
      <c r="Q41" s="22" t="n">
        <v>1</v>
      </c>
      <c r="R41" s="26" t="s">
        <v>156</v>
      </c>
      <c r="S41" s="22"/>
      <c r="T41" s="22"/>
      <c r="U41" s="22"/>
      <c r="V41" s="22" t="n">
        <v>1</v>
      </c>
      <c r="W41" s="16"/>
      <c r="X41" s="16"/>
      <c r="Y41" s="16"/>
      <c r="Z41" s="16"/>
      <c r="AA41" s="16"/>
      <c r="AB41" s="16"/>
      <c r="AC41" s="16"/>
      <c r="AD41" s="16"/>
      <c r="AE41" s="16"/>
      <c r="AF41" s="16"/>
      <c r="AG41" s="16"/>
      <c r="AH41" s="16"/>
      <c r="AI41" s="16"/>
      <c r="AJ41" s="16"/>
      <c r="AK41" s="16"/>
      <c r="AL41" s="16"/>
      <c r="AM41" s="16"/>
      <c r="AN41" s="16"/>
      <c r="AO41" s="16"/>
      <c r="AP41" s="16"/>
      <c r="AQ41" s="16"/>
    </row>
    <row r="42" customFormat="false" ht="55.2" hidden="false" customHeight="false" outlineLevel="0" collapsed="false">
      <c r="A42" s="17"/>
      <c r="B42" s="17"/>
      <c r="C42" s="42" t="s">
        <v>157</v>
      </c>
      <c r="D42" s="22"/>
      <c r="E42" s="22"/>
      <c r="F42" s="22"/>
      <c r="G42" s="22" t="n">
        <v>1</v>
      </c>
      <c r="H42" s="26" t="s">
        <v>158</v>
      </c>
      <c r="I42" s="22"/>
      <c r="J42" s="22"/>
      <c r="K42" s="22"/>
      <c r="L42" s="22" t="n">
        <v>1</v>
      </c>
      <c r="M42" s="26" t="s">
        <v>159</v>
      </c>
      <c r="N42" s="22"/>
      <c r="O42" s="22"/>
      <c r="P42" s="22"/>
      <c r="Q42" s="22" t="n">
        <v>1</v>
      </c>
      <c r="R42" s="46" t="s">
        <v>160</v>
      </c>
      <c r="S42" s="22"/>
      <c r="T42" s="22"/>
      <c r="U42" s="22"/>
      <c r="V42" s="22" t="n">
        <v>1</v>
      </c>
      <c r="W42" s="16"/>
      <c r="X42" s="16"/>
      <c r="Y42" s="16"/>
      <c r="Z42" s="16"/>
      <c r="AA42" s="16"/>
      <c r="AB42" s="16"/>
      <c r="AC42" s="16"/>
      <c r="AD42" s="16"/>
      <c r="AE42" s="16"/>
      <c r="AF42" s="16"/>
      <c r="AG42" s="16"/>
      <c r="AH42" s="16"/>
      <c r="AI42" s="16"/>
      <c r="AJ42" s="16"/>
      <c r="AK42" s="16"/>
      <c r="AL42" s="16"/>
      <c r="AM42" s="16"/>
      <c r="AN42" s="16"/>
      <c r="AO42" s="16"/>
      <c r="AP42" s="16"/>
      <c r="AQ42" s="16"/>
    </row>
    <row r="43" customFormat="false" ht="69.15" hidden="false" customHeight="false" outlineLevel="0" collapsed="false">
      <c r="A43" s="17"/>
      <c r="B43" s="17"/>
      <c r="C43" s="27"/>
      <c r="D43" s="27"/>
      <c r="E43" s="27"/>
      <c r="F43" s="27"/>
      <c r="G43" s="27"/>
      <c r="H43" s="26" t="s">
        <v>161</v>
      </c>
      <c r="I43" s="22"/>
      <c r="J43" s="22"/>
      <c r="K43" s="22"/>
      <c r="L43" s="22" t="n">
        <v>1</v>
      </c>
      <c r="M43" s="26" t="s">
        <v>162</v>
      </c>
      <c r="N43" s="22"/>
      <c r="O43" s="22"/>
      <c r="P43" s="22"/>
      <c r="Q43" s="22" t="n">
        <v>1</v>
      </c>
      <c r="R43" s="26" t="s">
        <v>163</v>
      </c>
      <c r="S43" s="22"/>
      <c r="T43" s="22"/>
      <c r="U43" s="22"/>
      <c r="V43" s="22" t="n">
        <v>1</v>
      </c>
      <c r="W43" s="16"/>
      <c r="X43" s="16"/>
      <c r="Y43" s="16"/>
      <c r="Z43" s="16"/>
      <c r="AA43" s="16"/>
      <c r="AB43" s="16"/>
      <c r="AC43" s="16"/>
      <c r="AD43" s="16"/>
      <c r="AE43" s="16"/>
      <c r="AF43" s="16"/>
      <c r="AG43" s="16"/>
      <c r="AH43" s="16"/>
      <c r="AI43" s="16"/>
      <c r="AJ43" s="16"/>
      <c r="AK43" s="16"/>
      <c r="AL43" s="16"/>
      <c r="AM43" s="16"/>
      <c r="AN43" s="16"/>
      <c r="AO43" s="16"/>
      <c r="AP43" s="16"/>
      <c r="AQ43" s="16"/>
    </row>
    <row r="44" customFormat="false" ht="42.05" hidden="false" customHeight="false" outlineLevel="0" collapsed="false">
      <c r="A44" s="17"/>
      <c r="B44" s="17"/>
      <c r="C44" s="17"/>
      <c r="D44" s="27"/>
      <c r="E44" s="27"/>
      <c r="F44" s="27"/>
      <c r="G44" s="27"/>
      <c r="H44" s="27"/>
      <c r="I44" s="27"/>
      <c r="J44" s="27"/>
      <c r="K44" s="27"/>
      <c r="L44" s="27"/>
      <c r="M44" s="26" t="s">
        <v>164</v>
      </c>
      <c r="N44" s="22"/>
      <c r="O44" s="22"/>
      <c r="P44" s="22"/>
      <c r="Q44" s="22" t="n">
        <v>1</v>
      </c>
      <c r="R44" s="26" t="s">
        <v>165</v>
      </c>
      <c r="S44" s="22"/>
      <c r="T44" s="22"/>
      <c r="U44" s="22"/>
      <c r="V44" s="22" t="n">
        <v>1</v>
      </c>
      <c r="W44" s="16"/>
      <c r="X44" s="16"/>
      <c r="Y44" s="16"/>
      <c r="Z44" s="16"/>
      <c r="AA44" s="16"/>
      <c r="AB44" s="16"/>
      <c r="AC44" s="16"/>
      <c r="AD44" s="16"/>
      <c r="AE44" s="16"/>
      <c r="AF44" s="16"/>
      <c r="AG44" s="16"/>
      <c r="AH44" s="16"/>
      <c r="AI44" s="16"/>
      <c r="AJ44" s="16"/>
      <c r="AK44" s="16"/>
      <c r="AL44" s="16"/>
      <c r="AM44" s="16"/>
      <c r="AN44" s="16"/>
      <c r="AO44" s="16"/>
      <c r="AP44" s="16"/>
      <c r="AQ44" s="16"/>
    </row>
    <row r="45" customFormat="false" ht="42.05" hidden="false" customHeight="false" outlineLevel="0" collapsed="false">
      <c r="A45" s="17"/>
      <c r="B45" s="17"/>
      <c r="C45" s="17"/>
      <c r="D45" s="27"/>
      <c r="E45" s="27"/>
      <c r="F45" s="27"/>
      <c r="G45" s="27"/>
      <c r="H45" s="27"/>
      <c r="I45" s="27"/>
      <c r="J45" s="27"/>
      <c r="K45" s="27"/>
      <c r="L45" s="27"/>
      <c r="M45" s="26" t="s">
        <v>166</v>
      </c>
      <c r="N45" s="22"/>
      <c r="O45" s="22"/>
      <c r="P45" s="22"/>
      <c r="Q45" s="22" t="n">
        <v>1</v>
      </c>
      <c r="R45" s="26" t="s">
        <v>167</v>
      </c>
      <c r="S45" s="22"/>
      <c r="T45" s="22"/>
      <c r="U45" s="22"/>
      <c r="V45" s="22" t="n">
        <v>1</v>
      </c>
      <c r="W45" s="16"/>
      <c r="X45" s="16"/>
      <c r="Y45" s="16"/>
      <c r="Z45" s="16"/>
      <c r="AA45" s="16"/>
      <c r="AB45" s="16"/>
      <c r="AC45" s="16"/>
      <c r="AD45" s="16"/>
      <c r="AE45" s="16"/>
      <c r="AF45" s="16"/>
      <c r="AG45" s="16"/>
      <c r="AH45" s="16"/>
      <c r="AI45" s="16"/>
      <c r="AJ45" s="16"/>
      <c r="AK45" s="16"/>
      <c r="AL45" s="16"/>
      <c r="AM45" s="16"/>
      <c r="AN45" s="16"/>
      <c r="AO45" s="16"/>
      <c r="AP45" s="16"/>
      <c r="AQ45" s="16"/>
    </row>
    <row r="46" customFormat="false" ht="61.05" hidden="false" customHeight="false" outlineLevel="0" collapsed="false">
      <c r="A46" s="17"/>
      <c r="B46" s="17"/>
      <c r="C46" s="17"/>
      <c r="D46" s="27"/>
      <c r="E46" s="27"/>
      <c r="F46" s="27"/>
      <c r="G46" s="27"/>
      <c r="H46" s="27"/>
      <c r="I46" s="27"/>
      <c r="J46" s="27"/>
      <c r="K46" s="27"/>
      <c r="L46" s="27"/>
      <c r="M46" s="58" t="s">
        <v>168</v>
      </c>
      <c r="N46" s="59"/>
      <c r="O46" s="59"/>
      <c r="P46" s="59"/>
      <c r="Q46" s="59" t="n">
        <v>1</v>
      </c>
      <c r="R46" s="26" t="s">
        <v>169</v>
      </c>
      <c r="S46" s="22"/>
      <c r="T46" s="22"/>
      <c r="U46" s="22"/>
      <c r="V46" s="22" t="n">
        <v>1</v>
      </c>
      <c r="W46" s="16"/>
      <c r="X46" s="16"/>
      <c r="Y46" s="16"/>
      <c r="Z46" s="16"/>
      <c r="AA46" s="16"/>
      <c r="AB46" s="16"/>
      <c r="AC46" s="16"/>
      <c r="AD46" s="16"/>
      <c r="AE46" s="16"/>
      <c r="AF46" s="16"/>
      <c r="AG46" s="16"/>
      <c r="AH46" s="16"/>
      <c r="AI46" s="16"/>
      <c r="AJ46" s="16"/>
      <c r="AK46" s="16"/>
      <c r="AL46" s="16"/>
      <c r="AM46" s="16"/>
      <c r="AN46" s="16"/>
      <c r="AO46" s="16"/>
      <c r="AP46" s="16"/>
      <c r="AQ46" s="16"/>
    </row>
    <row r="47" customFormat="false" ht="15.75" hidden="false" customHeight="true" outlineLevel="0" collapsed="false">
      <c r="A47" s="52"/>
      <c r="B47" s="34" t="s">
        <v>88</v>
      </c>
      <c r="C47" s="34"/>
      <c r="D47" s="50" t="e">
        <f aca="false">IF( AND(COUNT(D41:G41)=1,COUNT(D42:G42)=1), (SUM(F41:F42) + (SUM(E41:E42)/2)) / COUNTBLANK(G41:G42), "Error - check cell values")</f>
        <v>#DIV/0!</v>
      </c>
      <c r="E47" s="50"/>
      <c r="F47" s="51" t="n">
        <f aca="false">COUNTBLANK(G41:G42)</f>
        <v>0</v>
      </c>
      <c r="G47" s="51" t="n">
        <f aca="false">ROWS(G41:G42)</f>
        <v>2</v>
      </c>
      <c r="H47" s="52" t="s">
        <v>88</v>
      </c>
      <c r="I47" s="50" t="e">
        <f aca="false">IF( AND(COUNT(I41:L41)=1,COUNT(I42:L42)=1,COUNT(I43:L43)=1), (SUM(K41:K43) + (SUM(J41:J43)/2)) / COUNTBLANK(L41:L43), "Error - check cell values")</f>
        <v>#DIV/0!</v>
      </c>
      <c r="J47" s="50"/>
      <c r="K47" s="51" t="n">
        <f aca="false">COUNTBLANK(L41:L43)</f>
        <v>0</v>
      </c>
      <c r="L47" s="51" t="n">
        <f aca="false">ROWS(L41:L43)</f>
        <v>3</v>
      </c>
      <c r="M47" s="52" t="s">
        <v>88</v>
      </c>
      <c r="N47" s="50" t="e">
        <f aca="false">IF( AND(COUNT(N41:Q41)=1,COUNT(N42:Q42)=1,COUNT(N43:Q43)=1,COUNT(N44:Q44)=1,COUNT(N45:Q45)=1,COUNT(N46:Q46)=1), (SUM(P41:P46) + (SUM(O41:O46)/2)) / COUNTBLANK(Q41:Q46), "Error - check cell values")</f>
        <v>#DIV/0!</v>
      </c>
      <c r="O47" s="50"/>
      <c r="P47" s="51" t="n">
        <f aca="false">COUNTBLANK(Q41:Q46)</f>
        <v>0</v>
      </c>
      <c r="Q47" s="51" t="n">
        <f aca="false">ROWS(Q41:Q46)</f>
        <v>6</v>
      </c>
      <c r="R47" s="61" t="s">
        <v>88</v>
      </c>
      <c r="S47" s="50" t="e">
        <f aca="false">IF( AND(COUNT(S41:V41)=1,COUNT(S42:V42)=1,COUNT(S43:V43)=1,COUNT(S44:V44)=1,COUNT(S45:V45)=1,COUNT(S46:V46)=1), (SUM(U41:U46) + (SUM(T41:T46)/2)) / COUNTBLANK(V41:V46), "Error - check cell values")</f>
        <v>#DIV/0!</v>
      </c>
      <c r="T47" s="50"/>
      <c r="U47" s="51" t="n">
        <f aca="false">COUNTBLANK(V41:V46)</f>
        <v>0</v>
      </c>
      <c r="V47" s="51" t="n">
        <f aca="false">ROWS(V41:V46)</f>
        <v>6</v>
      </c>
      <c r="W47" s="16"/>
      <c r="X47" s="16"/>
      <c r="Y47" s="16"/>
      <c r="Z47" s="16"/>
      <c r="AA47" s="16"/>
      <c r="AB47" s="16"/>
      <c r="AC47" s="16"/>
      <c r="AD47" s="16"/>
      <c r="AE47" s="16"/>
      <c r="AF47" s="16"/>
      <c r="AG47" s="16"/>
      <c r="AH47" s="16"/>
      <c r="AI47" s="16"/>
      <c r="AJ47" s="16"/>
      <c r="AK47" s="16"/>
      <c r="AL47" s="16"/>
      <c r="AM47" s="16"/>
      <c r="AN47" s="16"/>
      <c r="AO47" s="16"/>
      <c r="AP47" s="16"/>
      <c r="AQ47" s="16"/>
    </row>
    <row r="48" customFormat="false" ht="28.45" hidden="false" customHeight="false" outlineLevel="0" collapsed="false">
      <c r="A48" s="38"/>
      <c r="B48" s="54"/>
      <c r="C48" s="54"/>
      <c r="D48" s="38" t="s">
        <v>77</v>
      </c>
      <c r="E48" s="38" t="s">
        <v>89</v>
      </c>
      <c r="F48" s="38" t="s">
        <v>78</v>
      </c>
      <c r="G48" s="38" t="s">
        <v>90</v>
      </c>
      <c r="H48" s="39"/>
      <c r="I48" s="38" t="s">
        <v>77</v>
      </c>
      <c r="J48" s="38" t="s">
        <v>89</v>
      </c>
      <c r="K48" s="38" t="s">
        <v>78</v>
      </c>
      <c r="L48" s="38" t="s">
        <v>90</v>
      </c>
      <c r="M48" s="39"/>
      <c r="N48" s="38" t="s">
        <v>77</v>
      </c>
      <c r="O48" s="38" t="s">
        <v>89</v>
      </c>
      <c r="P48" s="38" t="s">
        <v>78</v>
      </c>
      <c r="Q48" s="38" t="s">
        <v>90</v>
      </c>
      <c r="R48" s="39"/>
      <c r="S48" s="38" t="s">
        <v>77</v>
      </c>
      <c r="T48" s="38" t="s">
        <v>89</v>
      </c>
      <c r="U48" s="38" t="s">
        <v>78</v>
      </c>
      <c r="V48" s="38" t="s">
        <v>90</v>
      </c>
      <c r="W48" s="16"/>
      <c r="X48" s="16"/>
      <c r="Y48" s="16"/>
      <c r="Z48" s="16"/>
      <c r="AA48" s="16"/>
      <c r="AB48" s="16"/>
      <c r="AC48" s="16"/>
      <c r="AD48" s="16"/>
      <c r="AE48" s="16"/>
      <c r="AF48" s="16"/>
      <c r="AG48" s="16"/>
      <c r="AH48" s="16"/>
      <c r="AI48" s="16"/>
      <c r="AJ48" s="16"/>
      <c r="AK48" s="16"/>
      <c r="AL48" s="16"/>
      <c r="AM48" s="16"/>
      <c r="AN48" s="16"/>
      <c r="AO48" s="16"/>
      <c r="AP48" s="16"/>
      <c r="AQ48" s="16"/>
    </row>
    <row r="49" customFormat="false" ht="55.6" hidden="false" customHeight="true" outlineLevel="0" collapsed="false">
      <c r="A49" s="17" t="s">
        <v>170</v>
      </c>
      <c r="B49" s="28" t="s">
        <v>171</v>
      </c>
      <c r="C49" s="26" t="s">
        <v>172</v>
      </c>
      <c r="D49" s="22"/>
      <c r="E49" s="22"/>
      <c r="F49" s="22"/>
      <c r="G49" s="22" t="n">
        <v>1</v>
      </c>
      <c r="H49" s="26" t="s">
        <v>173</v>
      </c>
      <c r="I49" s="22"/>
      <c r="J49" s="22"/>
      <c r="K49" s="22"/>
      <c r="L49" s="22" t="n">
        <v>1</v>
      </c>
      <c r="M49" s="26" t="s">
        <v>174</v>
      </c>
      <c r="N49" s="22"/>
      <c r="O49" s="22"/>
      <c r="P49" s="22"/>
      <c r="Q49" s="22" t="n">
        <v>1</v>
      </c>
      <c r="R49" s="46" t="s">
        <v>175</v>
      </c>
      <c r="S49" s="22"/>
      <c r="T49" s="22"/>
      <c r="U49" s="22"/>
      <c r="V49" s="22" t="n">
        <v>1</v>
      </c>
      <c r="W49" s="16"/>
      <c r="X49" s="16"/>
      <c r="Y49" s="16"/>
      <c r="Z49" s="16"/>
      <c r="AA49" s="16"/>
      <c r="AB49" s="16"/>
      <c r="AC49" s="16"/>
      <c r="AD49" s="16"/>
      <c r="AE49" s="16"/>
      <c r="AF49" s="16"/>
      <c r="AG49" s="16"/>
      <c r="AH49" s="16"/>
      <c r="AI49" s="16"/>
      <c r="AJ49" s="16"/>
      <c r="AK49" s="16"/>
      <c r="AL49" s="16"/>
      <c r="AM49" s="16"/>
      <c r="AN49" s="16"/>
      <c r="AO49" s="16"/>
      <c r="AP49" s="16"/>
      <c r="AQ49" s="16"/>
    </row>
    <row r="50" customFormat="false" ht="55.2" hidden="false" customHeight="false" outlineLevel="0" collapsed="false">
      <c r="A50" s="17"/>
      <c r="B50" s="17"/>
      <c r="C50" s="26" t="s">
        <v>176</v>
      </c>
      <c r="D50" s="22"/>
      <c r="E50" s="22"/>
      <c r="F50" s="22"/>
      <c r="G50" s="22" t="n">
        <v>1</v>
      </c>
      <c r="H50" s="26" t="s">
        <v>177</v>
      </c>
      <c r="I50" s="22"/>
      <c r="J50" s="22"/>
      <c r="K50" s="22"/>
      <c r="L50" s="22" t="n">
        <v>1</v>
      </c>
      <c r="M50" s="26" t="s">
        <v>178</v>
      </c>
      <c r="N50" s="22"/>
      <c r="O50" s="22"/>
      <c r="P50" s="22"/>
      <c r="Q50" s="22" t="n">
        <v>1</v>
      </c>
      <c r="R50" s="46" t="s">
        <v>179</v>
      </c>
      <c r="S50" s="22"/>
      <c r="T50" s="22"/>
      <c r="U50" s="22"/>
      <c r="V50" s="22" t="n">
        <v>1</v>
      </c>
      <c r="W50" s="16"/>
      <c r="X50" s="16"/>
      <c r="Y50" s="16"/>
      <c r="Z50" s="16"/>
      <c r="AA50" s="16"/>
      <c r="AB50" s="16"/>
      <c r="AC50" s="16"/>
      <c r="AD50" s="16"/>
      <c r="AE50" s="16"/>
      <c r="AF50" s="16"/>
      <c r="AG50" s="16"/>
      <c r="AH50" s="16"/>
      <c r="AI50" s="16"/>
      <c r="AJ50" s="16"/>
      <c r="AK50" s="16"/>
      <c r="AL50" s="16"/>
      <c r="AM50" s="16"/>
      <c r="AN50" s="16"/>
      <c r="AO50" s="16"/>
      <c r="AP50" s="16"/>
      <c r="AQ50" s="16"/>
    </row>
    <row r="51" customFormat="false" ht="55.2" hidden="false" customHeight="false" outlineLevel="0" collapsed="false">
      <c r="A51" s="17"/>
      <c r="B51" s="17"/>
      <c r="C51" s="26" t="s">
        <v>180</v>
      </c>
      <c r="D51" s="22"/>
      <c r="E51" s="22"/>
      <c r="F51" s="22"/>
      <c r="G51" s="22" t="n">
        <v>1</v>
      </c>
      <c r="H51" s="26" t="s">
        <v>181</v>
      </c>
      <c r="I51" s="22"/>
      <c r="J51" s="22"/>
      <c r="K51" s="22"/>
      <c r="L51" s="22" t="n">
        <v>1</v>
      </c>
      <c r="M51" s="26" t="s">
        <v>182</v>
      </c>
      <c r="N51" s="22"/>
      <c r="O51" s="22"/>
      <c r="P51" s="22"/>
      <c r="Q51" s="22" t="n">
        <v>1</v>
      </c>
      <c r="R51" s="26" t="s">
        <v>183</v>
      </c>
      <c r="S51" s="22"/>
      <c r="T51" s="22"/>
      <c r="U51" s="22"/>
      <c r="V51" s="22" t="n">
        <v>1</v>
      </c>
      <c r="W51" s="16"/>
      <c r="X51" s="16"/>
      <c r="Y51" s="16"/>
      <c r="Z51" s="16"/>
      <c r="AA51" s="16"/>
      <c r="AB51" s="16"/>
      <c r="AC51" s="16"/>
      <c r="AD51" s="16"/>
      <c r="AE51" s="16"/>
      <c r="AF51" s="16"/>
      <c r="AG51" s="16"/>
      <c r="AH51" s="16"/>
      <c r="AI51" s="16"/>
      <c r="AJ51" s="16"/>
      <c r="AK51" s="16"/>
      <c r="AL51" s="16"/>
      <c r="AM51" s="16"/>
      <c r="AN51" s="16"/>
      <c r="AO51" s="16"/>
      <c r="AP51" s="16"/>
      <c r="AQ51" s="16"/>
    </row>
    <row r="52" customFormat="false" ht="55.2" hidden="false" customHeight="false" outlineLevel="0" collapsed="false">
      <c r="A52" s="17"/>
      <c r="B52" s="17"/>
      <c r="C52" s="26" t="s">
        <v>184</v>
      </c>
      <c r="D52" s="22"/>
      <c r="E52" s="22"/>
      <c r="F52" s="22"/>
      <c r="G52" s="22" t="n">
        <v>1</v>
      </c>
      <c r="H52" s="26" t="s">
        <v>185</v>
      </c>
      <c r="I52" s="22"/>
      <c r="J52" s="22"/>
      <c r="K52" s="22"/>
      <c r="L52" s="22" t="n">
        <v>1</v>
      </c>
      <c r="M52" s="26" t="s">
        <v>186</v>
      </c>
      <c r="N52" s="22"/>
      <c r="O52" s="22"/>
      <c r="P52" s="22"/>
      <c r="Q52" s="22" t="n">
        <v>1</v>
      </c>
      <c r="R52" s="26" t="s">
        <v>187</v>
      </c>
      <c r="S52" s="22"/>
      <c r="T52" s="22"/>
      <c r="U52" s="22"/>
      <c r="V52" s="22" t="n">
        <v>1</v>
      </c>
      <c r="W52" s="16"/>
      <c r="X52" s="16"/>
      <c r="Y52" s="16"/>
      <c r="Z52" s="16"/>
      <c r="AA52" s="16"/>
      <c r="AB52" s="16"/>
      <c r="AC52" s="16"/>
      <c r="AD52" s="16"/>
      <c r="AE52" s="16"/>
      <c r="AF52" s="16"/>
      <c r="AG52" s="16"/>
      <c r="AH52" s="16"/>
      <c r="AI52" s="16"/>
      <c r="AJ52" s="16"/>
      <c r="AK52" s="16"/>
      <c r="AL52" s="16"/>
      <c r="AM52" s="16"/>
      <c r="AN52" s="16"/>
      <c r="AO52" s="16"/>
      <c r="AP52" s="16"/>
      <c r="AQ52" s="16"/>
    </row>
    <row r="53" customFormat="false" ht="41.75" hidden="false" customHeight="false" outlineLevel="0" collapsed="false">
      <c r="A53" s="17"/>
      <c r="B53" s="17"/>
      <c r="C53" s="27"/>
      <c r="D53" s="27"/>
      <c r="E53" s="27"/>
      <c r="F53" s="27"/>
      <c r="G53" s="27"/>
      <c r="H53" s="26" t="s">
        <v>188</v>
      </c>
      <c r="I53" s="22"/>
      <c r="J53" s="22"/>
      <c r="K53" s="22"/>
      <c r="L53" s="22" t="n">
        <v>1</v>
      </c>
      <c r="M53" s="26" t="s">
        <v>189</v>
      </c>
      <c r="N53" s="22"/>
      <c r="O53" s="22"/>
      <c r="P53" s="22"/>
      <c r="Q53" s="22" t="n">
        <v>1</v>
      </c>
      <c r="R53" s="26" t="s">
        <v>189</v>
      </c>
      <c r="S53" s="22"/>
      <c r="T53" s="22"/>
      <c r="U53" s="22"/>
      <c r="V53" s="22" t="n">
        <v>1</v>
      </c>
      <c r="W53" s="16"/>
      <c r="X53" s="16"/>
      <c r="Y53" s="16"/>
      <c r="Z53" s="16"/>
      <c r="AA53" s="16"/>
      <c r="AB53" s="16"/>
      <c r="AC53" s="16"/>
      <c r="AD53" s="16"/>
      <c r="AE53" s="16"/>
      <c r="AF53" s="16"/>
      <c r="AG53" s="16"/>
      <c r="AH53" s="16"/>
      <c r="AI53" s="16"/>
      <c r="AJ53" s="16"/>
      <c r="AK53" s="16"/>
      <c r="AL53" s="16"/>
      <c r="AM53" s="16"/>
      <c r="AN53" s="16"/>
      <c r="AO53" s="16"/>
      <c r="AP53" s="16"/>
      <c r="AQ53" s="16"/>
    </row>
    <row r="54" customFormat="false" ht="28.35" hidden="false" customHeight="false" outlineLevel="0" collapsed="false">
      <c r="A54" s="17"/>
      <c r="B54" s="17"/>
      <c r="C54" s="17"/>
      <c r="D54" s="27"/>
      <c r="E54" s="27"/>
      <c r="F54" s="27"/>
      <c r="G54" s="27"/>
      <c r="H54" s="26" t="s">
        <v>190</v>
      </c>
      <c r="I54" s="22"/>
      <c r="J54" s="22"/>
      <c r="K54" s="22"/>
      <c r="L54" s="22" t="n">
        <v>1</v>
      </c>
      <c r="M54" s="64"/>
      <c r="N54" s="64"/>
      <c r="O54" s="64"/>
      <c r="P54" s="64"/>
      <c r="Q54" s="64"/>
      <c r="R54" s="64"/>
      <c r="S54" s="64"/>
      <c r="T54" s="64"/>
      <c r="U54" s="64"/>
      <c r="V54" s="64"/>
      <c r="W54" s="16"/>
      <c r="X54" s="16"/>
      <c r="Y54" s="16"/>
      <c r="Z54" s="16"/>
      <c r="AA54" s="16"/>
      <c r="AB54" s="16"/>
      <c r="AC54" s="16"/>
      <c r="AD54" s="16"/>
      <c r="AE54" s="16"/>
      <c r="AF54" s="16"/>
      <c r="AG54" s="16"/>
      <c r="AH54" s="16"/>
      <c r="AI54" s="16"/>
      <c r="AJ54" s="16"/>
      <c r="AK54" s="16"/>
      <c r="AL54" s="16"/>
      <c r="AM54" s="16"/>
      <c r="AN54" s="16"/>
      <c r="AO54" s="16"/>
      <c r="AP54" s="16"/>
      <c r="AQ54" s="16"/>
    </row>
    <row r="55" customFormat="false" ht="28.45" hidden="false" customHeight="false" outlineLevel="0" collapsed="false">
      <c r="A55" s="17"/>
      <c r="B55" s="17"/>
      <c r="C55" s="17"/>
      <c r="D55" s="27"/>
      <c r="E55" s="27"/>
      <c r="F55" s="27"/>
      <c r="G55" s="27"/>
      <c r="H55" s="65" t="s">
        <v>191</v>
      </c>
      <c r="I55" s="22"/>
      <c r="J55" s="22"/>
      <c r="K55" s="22"/>
      <c r="L55" s="22" t="n">
        <v>1</v>
      </c>
      <c r="M55" s="64"/>
      <c r="N55" s="64"/>
      <c r="O55" s="64"/>
      <c r="P55" s="64"/>
      <c r="Q55" s="64"/>
      <c r="R55" s="64"/>
      <c r="S55" s="64"/>
      <c r="T55" s="64"/>
      <c r="U55" s="64"/>
      <c r="V55" s="64"/>
      <c r="W55" s="16"/>
      <c r="X55" s="16"/>
      <c r="Y55" s="16"/>
      <c r="Z55" s="16"/>
      <c r="AA55" s="16"/>
      <c r="AB55" s="16"/>
      <c r="AC55" s="16"/>
      <c r="AD55" s="16"/>
      <c r="AE55" s="16"/>
      <c r="AF55" s="16"/>
      <c r="AG55" s="16"/>
      <c r="AH55" s="16"/>
      <c r="AI55" s="16"/>
      <c r="AJ55" s="16"/>
      <c r="AK55" s="16"/>
      <c r="AL55" s="16"/>
      <c r="AM55" s="16"/>
      <c r="AN55" s="16"/>
      <c r="AO55" s="16"/>
      <c r="AP55" s="16"/>
      <c r="AQ55" s="16"/>
    </row>
    <row r="56" customFormat="false" ht="30" hidden="false" customHeight="true" outlineLevel="0" collapsed="false">
      <c r="A56" s="17"/>
      <c r="B56" s="17"/>
      <c r="C56" s="17"/>
      <c r="D56" s="27"/>
      <c r="E56" s="27"/>
      <c r="F56" s="27"/>
      <c r="G56" s="27"/>
      <c r="H56" s="26" t="s">
        <v>192</v>
      </c>
      <c r="I56" s="22"/>
      <c r="J56" s="22"/>
      <c r="K56" s="22"/>
      <c r="L56" s="22" t="n">
        <v>1</v>
      </c>
      <c r="M56" s="64"/>
      <c r="N56" s="64"/>
      <c r="O56" s="64"/>
      <c r="P56" s="64"/>
      <c r="Q56" s="64"/>
      <c r="R56" s="64"/>
      <c r="S56" s="64"/>
      <c r="T56" s="64"/>
      <c r="U56" s="64"/>
      <c r="V56" s="64"/>
      <c r="W56" s="16"/>
      <c r="X56" s="16"/>
      <c r="Y56" s="16"/>
      <c r="Z56" s="16"/>
      <c r="AA56" s="16"/>
      <c r="AB56" s="16"/>
      <c r="AC56" s="16"/>
      <c r="AD56" s="16"/>
      <c r="AE56" s="16"/>
      <c r="AF56" s="16"/>
      <c r="AG56" s="16"/>
      <c r="AH56" s="16"/>
      <c r="AI56" s="16"/>
      <c r="AJ56" s="16"/>
      <c r="AK56" s="16"/>
      <c r="AL56" s="16"/>
      <c r="AM56" s="16"/>
      <c r="AN56" s="16"/>
      <c r="AO56" s="16"/>
      <c r="AP56" s="16"/>
      <c r="AQ56" s="16"/>
    </row>
    <row r="57" customFormat="false" ht="30.75" hidden="false" customHeight="true" outlineLevel="0" collapsed="false">
      <c r="A57" s="17"/>
      <c r="B57" s="17"/>
      <c r="C57" s="17"/>
      <c r="D57" s="27"/>
      <c r="E57" s="27"/>
      <c r="F57" s="27"/>
      <c r="G57" s="27"/>
      <c r="H57" s="26" t="s">
        <v>193</v>
      </c>
      <c r="I57" s="22"/>
      <c r="J57" s="22"/>
      <c r="K57" s="22"/>
      <c r="L57" s="22" t="n">
        <v>1</v>
      </c>
      <c r="M57" s="64"/>
      <c r="N57" s="64"/>
      <c r="O57" s="64"/>
      <c r="P57" s="64"/>
      <c r="Q57" s="64"/>
      <c r="R57" s="64"/>
      <c r="S57" s="64"/>
      <c r="T57" s="64"/>
      <c r="U57" s="64"/>
      <c r="V57" s="64"/>
      <c r="W57" s="16"/>
      <c r="X57" s="16"/>
      <c r="Y57" s="16"/>
      <c r="Z57" s="16"/>
      <c r="AA57" s="16"/>
      <c r="AB57" s="16"/>
      <c r="AC57" s="16"/>
      <c r="AD57" s="16"/>
      <c r="AE57" s="16"/>
      <c r="AF57" s="16"/>
      <c r="AG57" s="16"/>
      <c r="AH57" s="16"/>
      <c r="AI57" s="16"/>
      <c r="AJ57" s="16"/>
      <c r="AK57" s="16"/>
      <c r="AL57" s="16"/>
      <c r="AM57" s="16"/>
      <c r="AN57" s="16"/>
      <c r="AO57" s="16"/>
      <c r="AP57" s="16"/>
      <c r="AQ57" s="16"/>
    </row>
    <row r="58" customFormat="false" ht="15.75" hidden="false" customHeight="true" outlineLevel="0" collapsed="false">
      <c r="A58" s="17"/>
      <c r="B58" s="34" t="s">
        <v>88</v>
      </c>
      <c r="C58" s="34"/>
      <c r="D58" s="66" t="e">
        <f aca="false">IF( AND(COUNT(D49:G49)=1,COUNT(D50:G50)=1,COUNT(D51:G51)=1,COUNT(D52:G52)=1), (SUM(F49:F52) + (SUM(E49:E52)/2)) / COUNTBLANK(G49:G52), "Error - check cell values")</f>
        <v>#DIV/0!</v>
      </c>
      <c r="E58" s="66"/>
      <c r="F58" s="51" t="n">
        <f aca="false">COUNTBLANK(G49:G52)</f>
        <v>0</v>
      </c>
      <c r="G58" s="51" t="n">
        <f aca="false">ROWS(G49:G52)</f>
        <v>4</v>
      </c>
      <c r="H58" s="52" t="s">
        <v>88</v>
      </c>
      <c r="I58" s="66" t="e">
        <f aca="false">IF( AND(COUNT(I49:L49)=1,COUNT(I50:L50)=1,COUNT(I51:L51)=1,COUNT(I52:L52)=1,COUNT(I53:L53)=1,COUNT(I54:L54)=1,COUNT(I55:L55)=1,COUNT(I56:L56)=1,COUNT(I57:L57)=1), (SUM(K49:K57) + (SUM(J49:J57)/2)) / COUNTBLANK(L49:L57), "Error - check cell values")</f>
        <v>#DIV/0!</v>
      </c>
      <c r="J58" s="66"/>
      <c r="K58" s="51" t="n">
        <f aca="false">COUNTBLANK(L49:L57)</f>
        <v>0</v>
      </c>
      <c r="L58" s="67" t="n">
        <f aca="false">ROWS(L49:L57)</f>
        <v>9</v>
      </c>
      <c r="M58" s="52" t="s">
        <v>88</v>
      </c>
      <c r="N58" s="66" t="e">
        <f aca="false">IF( AND(COUNT(N49:Q49)=1,COUNT(N50:Q50)=1,COUNT(N51:Q51)=1,COUNT(N52:Q52)=1,COUNT(N53:Q53)=1), (SUM(P49:P53) + (SUM(O49:O53)/2)) / COUNTBLANK(Q49:Q53), "Error - check cell values")</f>
        <v>#DIV/0!</v>
      </c>
      <c r="O58" s="66"/>
      <c r="P58" s="51" t="n">
        <f aca="false">COUNTBLANK(Q49:Q53)</f>
        <v>0</v>
      </c>
      <c r="Q58" s="67" t="n">
        <f aca="false">ROWS(Q49:Q53)</f>
        <v>5</v>
      </c>
      <c r="R58" s="52" t="s">
        <v>88</v>
      </c>
      <c r="S58" s="66" t="e">
        <f aca="false">IF( AND(COUNT(S49:V49)=1,COUNT(S50:V50)=1,COUNT(S51:V51)=1,COUNT(S52:V52)=1,COUNT(S53:V53)=1), (SUM(U49:U53) + (SUM(T49:T53)/2)) / COUNTBLANK(V49:V53), "Error - check cell values")</f>
        <v>#DIV/0!</v>
      </c>
      <c r="T58" s="66"/>
      <c r="U58" s="51" t="n">
        <f aca="false">COUNTBLANK(V49:V53)</f>
        <v>0</v>
      </c>
      <c r="V58" s="51" t="n">
        <f aca="false">ROWS(V49:V53)</f>
        <v>5</v>
      </c>
      <c r="W58" s="22"/>
      <c r="X58" s="22"/>
      <c r="Y58" s="22"/>
      <c r="Z58" s="22"/>
      <c r="AA58" s="22"/>
      <c r="AB58" s="22"/>
      <c r="AC58" s="22"/>
      <c r="AD58" s="22"/>
      <c r="AE58" s="22"/>
      <c r="AF58" s="22"/>
      <c r="AG58" s="22"/>
      <c r="AH58" s="22"/>
      <c r="AI58" s="22"/>
      <c r="AJ58" s="22"/>
      <c r="AK58" s="22"/>
      <c r="AL58" s="22"/>
      <c r="AM58" s="22"/>
      <c r="AN58" s="22"/>
      <c r="AO58" s="22"/>
      <c r="AP58" s="22"/>
      <c r="AQ58" s="22"/>
    </row>
    <row r="59" customFormat="false" ht="28.45" hidden="false" customHeight="false" outlineLevel="0" collapsed="false">
      <c r="A59" s="17"/>
      <c r="B59" s="54"/>
      <c r="C59" s="54"/>
      <c r="D59" s="38" t="s">
        <v>77</v>
      </c>
      <c r="E59" s="38" t="s">
        <v>89</v>
      </c>
      <c r="F59" s="38" t="s">
        <v>78</v>
      </c>
      <c r="G59" s="38" t="s">
        <v>90</v>
      </c>
      <c r="H59" s="39"/>
      <c r="I59" s="38" t="s">
        <v>77</v>
      </c>
      <c r="J59" s="38" t="s">
        <v>89</v>
      </c>
      <c r="K59" s="38" t="s">
        <v>78</v>
      </c>
      <c r="L59" s="38" t="s">
        <v>90</v>
      </c>
      <c r="M59" s="39"/>
      <c r="N59" s="38" t="s">
        <v>77</v>
      </c>
      <c r="O59" s="38" t="s">
        <v>89</v>
      </c>
      <c r="P59" s="38" t="s">
        <v>78</v>
      </c>
      <c r="Q59" s="38" t="s">
        <v>90</v>
      </c>
      <c r="R59" s="39"/>
      <c r="S59" s="38" t="s">
        <v>77</v>
      </c>
      <c r="T59" s="38" t="s">
        <v>89</v>
      </c>
      <c r="U59" s="38" t="s">
        <v>78</v>
      </c>
      <c r="V59" s="38" t="s">
        <v>90</v>
      </c>
      <c r="W59" s="16"/>
      <c r="X59" s="16"/>
      <c r="Y59" s="16"/>
      <c r="Z59" s="16"/>
      <c r="AA59" s="16"/>
      <c r="AB59" s="16"/>
      <c r="AC59" s="16"/>
      <c r="AD59" s="16"/>
      <c r="AE59" s="16"/>
      <c r="AF59" s="16"/>
      <c r="AG59" s="16"/>
      <c r="AH59" s="16"/>
      <c r="AI59" s="16"/>
      <c r="AJ59" s="16"/>
      <c r="AK59" s="16"/>
      <c r="AL59" s="16"/>
      <c r="AM59" s="16"/>
      <c r="AN59" s="16"/>
      <c r="AO59" s="16"/>
      <c r="AP59" s="16"/>
      <c r="AQ59" s="16"/>
    </row>
    <row r="60" customFormat="false" ht="31.2" hidden="false" customHeight="true" outlineLevel="0" collapsed="false">
      <c r="A60" s="17"/>
      <c r="B60" s="68" t="s">
        <v>194</v>
      </c>
      <c r="C60" s="58" t="s">
        <v>195</v>
      </c>
      <c r="D60" s="69"/>
      <c r="E60" s="69"/>
      <c r="F60" s="69"/>
      <c r="G60" s="69" t="n">
        <v>1</v>
      </c>
      <c r="H60" s="58" t="s">
        <v>196</v>
      </c>
      <c r="I60" s="69"/>
      <c r="J60" s="69"/>
      <c r="K60" s="69"/>
      <c r="L60" s="69" t="n">
        <v>1</v>
      </c>
      <c r="M60" s="58" t="s">
        <v>197</v>
      </c>
      <c r="N60" s="69"/>
      <c r="O60" s="69"/>
      <c r="P60" s="69"/>
      <c r="Q60" s="69" t="n">
        <v>1</v>
      </c>
      <c r="R60" s="58" t="s">
        <v>198</v>
      </c>
      <c r="S60" s="69"/>
      <c r="T60" s="69"/>
      <c r="U60" s="69"/>
      <c r="V60" s="69" t="n">
        <v>1</v>
      </c>
      <c r="W60" s="16"/>
      <c r="X60" s="16"/>
      <c r="Y60" s="16"/>
      <c r="Z60" s="16"/>
      <c r="AA60" s="16"/>
      <c r="AB60" s="16"/>
      <c r="AC60" s="16"/>
      <c r="AD60" s="16"/>
      <c r="AE60" s="16"/>
      <c r="AF60" s="16"/>
      <c r="AG60" s="16"/>
      <c r="AH60" s="16"/>
      <c r="AI60" s="16"/>
      <c r="AJ60" s="16"/>
      <c r="AK60" s="16"/>
      <c r="AL60" s="16"/>
      <c r="AM60" s="16"/>
      <c r="AN60" s="16"/>
      <c r="AO60" s="16"/>
      <c r="AP60" s="16"/>
      <c r="AQ60" s="16"/>
    </row>
    <row r="61" customFormat="false" ht="31.2" hidden="false" customHeight="false" outlineLevel="0" collapsed="false">
      <c r="A61" s="17"/>
      <c r="B61" s="17"/>
      <c r="C61" s="58" t="s">
        <v>199</v>
      </c>
      <c r="D61" s="69"/>
      <c r="E61" s="69"/>
      <c r="F61" s="69"/>
      <c r="G61" s="69" t="n">
        <v>1</v>
      </c>
      <c r="H61" s="58" t="s">
        <v>200</v>
      </c>
      <c r="I61" s="69"/>
      <c r="J61" s="69"/>
      <c r="K61" s="69"/>
      <c r="L61" s="69" t="n">
        <v>1</v>
      </c>
      <c r="M61" s="58" t="s">
        <v>201</v>
      </c>
      <c r="N61" s="69"/>
      <c r="O61" s="69"/>
      <c r="P61" s="69"/>
      <c r="Q61" s="69" t="n">
        <v>1</v>
      </c>
      <c r="R61" s="70" t="s">
        <v>202</v>
      </c>
      <c r="S61" s="69"/>
      <c r="T61" s="69"/>
      <c r="U61" s="69"/>
      <c r="V61" s="69" t="n">
        <v>1</v>
      </c>
      <c r="W61" s="16"/>
      <c r="X61" s="16"/>
      <c r="Y61" s="16"/>
      <c r="Z61" s="16"/>
      <c r="AA61" s="16"/>
      <c r="AB61" s="16"/>
      <c r="AC61" s="16"/>
      <c r="AD61" s="16"/>
      <c r="AE61" s="16"/>
      <c r="AF61" s="16"/>
      <c r="AG61" s="16"/>
      <c r="AH61" s="16"/>
      <c r="AI61" s="16"/>
      <c r="AJ61" s="16"/>
      <c r="AK61" s="16"/>
      <c r="AL61" s="16"/>
      <c r="AM61" s="16"/>
      <c r="AN61" s="16"/>
      <c r="AO61" s="16"/>
      <c r="AP61" s="16"/>
      <c r="AQ61" s="16"/>
    </row>
    <row r="62" customFormat="false" ht="31.2" hidden="false" customHeight="false" outlineLevel="0" collapsed="false">
      <c r="A62" s="17"/>
      <c r="B62" s="17"/>
      <c r="C62" s="71"/>
      <c r="D62" s="71"/>
      <c r="E62" s="71"/>
      <c r="F62" s="71"/>
      <c r="G62" s="71"/>
      <c r="H62" s="58" t="s">
        <v>203</v>
      </c>
      <c r="I62" s="69"/>
      <c r="J62" s="69"/>
      <c r="K62" s="69"/>
      <c r="L62" s="69" t="n">
        <v>1</v>
      </c>
      <c r="M62" s="58" t="s">
        <v>204</v>
      </c>
      <c r="N62" s="69"/>
      <c r="O62" s="69"/>
      <c r="P62" s="69"/>
      <c r="Q62" s="69" t="n">
        <v>1</v>
      </c>
      <c r="R62" s="58" t="s">
        <v>205</v>
      </c>
      <c r="S62" s="69"/>
      <c r="T62" s="69"/>
      <c r="U62" s="69"/>
      <c r="V62" s="69" t="n">
        <v>1</v>
      </c>
      <c r="W62" s="16"/>
      <c r="X62" s="16"/>
      <c r="Y62" s="16"/>
      <c r="Z62" s="16"/>
      <c r="AA62" s="16"/>
      <c r="AB62" s="16"/>
      <c r="AC62" s="16"/>
      <c r="AD62" s="16"/>
      <c r="AE62" s="16"/>
      <c r="AF62" s="16"/>
      <c r="AG62" s="16"/>
      <c r="AH62" s="16"/>
      <c r="AI62" s="16"/>
      <c r="AJ62" s="16"/>
      <c r="AK62" s="16"/>
      <c r="AL62" s="16"/>
      <c r="AM62" s="16"/>
      <c r="AN62" s="16"/>
      <c r="AO62" s="16"/>
      <c r="AP62" s="16"/>
      <c r="AQ62" s="16"/>
    </row>
    <row r="63" customFormat="false" ht="46.1" hidden="false" customHeight="false" outlineLevel="0" collapsed="false">
      <c r="A63" s="17"/>
      <c r="B63" s="17"/>
      <c r="C63" s="17"/>
      <c r="D63" s="71"/>
      <c r="E63" s="71"/>
      <c r="F63" s="71"/>
      <c r="G63" s="71"/>
      <c r="H63" s="71"/>
      <c r="I63" s="71"/>
      <c r="J63" s="71"/>
      <c r="K63" s="71"/>
      <c r="L63" s="71"/>
      <c r="M63" s="71"/>
      <c r="N63" s="71"/>
      <c r="O63" s="71"/>
      <c r="P63" s="71"/>
      <c r="Q63" s="71"/>
      <c r="R63" s="58" t="s">
        <v>206</v>
      </c>
      <c r="S63" s="69"/>
      <c r="T63" s="69"/>
      <c r="U63" s="69"/>
      <c r="V63" s="69" t="n">
        <v>1</v>
      </c>
      <c r="W63" s="16"/>
      <c r="X63" s="16"/>
      <c r="Y63" s="16"/>
      <c r="Z63" s="16"/>
      <c r="AA63" s="16"/>
      <c r="AB63" s="16"/>
      <c r="AC63" s="16"/>
      <c r="AD63" s="16"/>
      <c r="AE63" s="16"/>
      <c r="AF63" s="16"/>
      <c r="AG63" s="16"/>
      <c r="AH63" s="16"/>
      <c r="AI63" s="16"/>
      <c r="AJ63" s="16"/>
      <c r="AK63" s="16"/>
      <c r="AL63" s="16"/>
      <c r="AM63" s="16"/>
      <c r="AN63" s="16"/>
      <c r="AO63" s="16"/>
      <c r="AP63" s="16"/>
      <c r="AQ63" s="16"/>
    </row>
    <row r="64" customFormat="false" ht="15.75" hidden="false" customHeight="false" outlineLevel="0" collapsed="false">
      <c r="A64" s="17"/>
      <c r="B64" s="17"/>
      <c r="C64" s="17"/>
      <c r="D64" s="71"/>
      <c r="E64" s="71"/>
      <c r="F64" s="71"/>
      <c r="G64" s="71"/>
      <c r="H64" s="71"/>
      <c r="I64" s="71"/>
      <c r="J64" s="71"/>
      <c r="K64" s="71"/>
      <c r="L64" s="71"/>
      <c r="M64" s="71"/>
      <c r="N64" s="71"/>
      <c r="O64" s="71"/>
      <c r="P64" s="71"/>
      <c r="Q64" s="71"/>
      <c r="R64" s="71"/>
      <c r="S64" s="71"/>
      <c r="T64" s="71"/>
      <c r="U64" s="71"/>
      <c r="V64" s="71"/>
      <c r="W64" s="16"/>
      <c r="X64" s="16"/>
      <c r="Y64" s="16"/>
      <c r="Z64" s="16"/>
      <c r="AA64" s="16"/>
      <c r="AB64" s="16"/>
      <c r="AC64" s="16"/>
      <c r="AD64" s="16"/>
      <c r="AE64" s="16"/>
      <c r="AF64" s="16"/>
      <c r="AG64" s="16"/>
      <c r="AH64" s="16"/>
      <c r="AI64" s="16"/>
      <c r="AJ64" s="16"/>
      <c r="AK64" s="16"/>
      <c r="AL64" s="16"/>
      <c r="AM64" s="16"/>
      <c r="AN64" s="16"/>
      <c r="AO64" s="16"/>
      <c r="AP64" s="16"/>
      <c r="AQ64" s="16"/>
    </row>
    <row r="65" customFormat="false" ht="15.75" hidden="false" customHeight="true" outlineLevel="0" collapsed="false">
      <c r="A65" s="17"/>
      <c r="B65" s="34" t="s">
        <v>88</v>
      </c>
      <c r="C65" s="34"/>
      <c r="D65" s="66" t="e">
        <f aca="false">IF( AND(COUNT(D60:G60)=1,COUNT(D61:G61)=1), (SUM(F60:F61) + (SUM(E60:E61)/2)) / COUNTBLANK(G60:G61), "Error - check cell values")</f>
        <v>#DIV/0!</v>
      </c>
      <c r="E65" s="66"/>
      <c r="F65" s="51" t="n">
        <f aca="false">COUNTBLANK(G60:G61)</f>
        <v>0</v>
      </c>
      <c r="G65" s="51" t="n">
        <f aca="false">ROWS(G60:G61)</f>
        <v>2</v>
      </c>
      <c r="H65" s="52" t="s">
        <v>88</v>
      </c>
      <c r="I65" s="66" t="e">
        <f aca="false">IF( AND(COUNT(I60:L60)=1,COUNT(I61:L61)=1,COUNT(I62:L62)=1), (SUM(K60:K62) + (SUM(J60:J62)/2)) / COUNTBLANK(L60:L62), "Error - check cell values")</f>
        <v>#DIV/0!</v>
      </c>
      <c r="J65" s="66"/>
      <c r="K65" s="51" t="n">
        <f aca="false">COUNTBLANK(L60:L62)</f>
        <v>0</v>
      </c>
      <c r="L65" s="51" t="n">
        <f aca="false">ROWS(L60:L62)</f>
        <v>3</v>
      </c>
      <c r="M65" s="52" t="s">
        <v>88</v>
      </c>
      <c r="N65" s="66" t="e">
        <f aca="false">IF( AND(COUNT(N60:Q60)=1,COUNT(N61:Q61)=1,COUNT(N62:Q62)=1), (SUM(P60:P62) + (SUM(O60:O62)/2)) / COUNTBLANK(Q60:Q62), "Error - check cell values")</f>
        <v>#DIV/0!</v>
      </c>
      <c r="O65" s="66"/>
      <c r="P65" s="51" t="n">
        <f aca="false">COUNTBLANK(Q60:Q62)</f>
        <v>0</v>
      </c>
      <c r="Q65" s="51" t="n">
        <f aca="false">ROWS(Q60:Q62)</f>
        <v>3</v>
      </c>
      <c r="R65" s="52" t="s">
        <v>88</v>
      </c>
      <c r="S65" s="66" t="e">
        <f aca="false">IF( AND(COUNT(S60:V60)=1,COUNT(S61:V61)=1,COUNT(S62:V62)=1,COUNT(S63:V63)=1), (SUM(U60:U63) + (SUM(T60:T63)/2)) / COUNTBLANK(V60:V63), "Error - check cell values")</f>
        <v>#DIV/0!</v>
      </c>
      <c r="T65" s="66"/>
      <c r="U65" s="51" t="n">
        <f aca="false">COUNTBLANK(V60:V63)</f>
        <v>0</v>
      </c>
      <c r="V65" s="51" t="n">
        <f aca="false">ROWS(V60:V63)</f>
        <v>4</v>
      </c>
      <c r="W65" s="22"/>
      <c r="X65" s="22"/>
      <c r="Y65" s="22"/>
      <c r="Z65" s="22"/>
      <c r="AA65" s="22"/>
      <c r="AB65" s="22"/>
      <c r="AC65" s="22"/>
      <c r="AD65" s="22"/>
      <c r="AE65" s="22"/>
      <c r="AF65" s="22"/>
      <c r="AG65" s="22"/>
      <c r="AH65" s="22"/>
      <c r="AI65" s="22"/>
      <c r="AJ65" s="22"/>
      <c r="AK65" s="22"/>
      <c r="AL65" s="22"/>
      <c r="AM65" s="22"/>
      <c r="AN65" s="22"/>
      <c r="AO65" s="22"/>
      <c r="AP65" s="22"/>
      <c r="AQ65" s="22"/>
    </row>
    <row r="66" customFormat="false" ht="28.45" hidden="false" customHeight="false" outlineLevel="0" collapsed="false">
      <c r="A66" s="17"/>
      <c r="B66" s="54"/>
      <c r="C66" s="54"/>
      <c r="D66" s="38" t="s">
        <v>77</v>
      </c>
      <c r="E66" s="38" t="s">
        <v>89</v>
      </c>
      <c r="F66" s="38" t="s">
        <v>78</v>
      </c>
      <c r="G66" s="38" t="s">
        <v>90</v>
      </c>
      <c r="H66" s="39"/>
      <c r="I66" s="38" t="s">
        <v>77</v>
      </c>
      <c r="J66" s="38" t="s">
        <v>89</v>
      </c>
      <c r="K66" s="38" t="s">
        <v>78</v>
      </c>
      <c r="L66" s="38" t="s">
        <v>90</v>
      </c>
      <c r="M66" s="39"/>
      <c r="N66" s="38" t="s">
        <v>77</v>
      </c>
      <c r="O66" s="38" t="s">
        <v>89</v>
      </c>
      <c r="P66" s="38" t="s">
        <v>78</v>
      </c>
      <c r="Q66" s="38" t="s">
        <v>90</v>
      </c>
      <c r="R66" s="39"/>
      <c r="S66" s="38" t="s">
        <v>77</v>
      </c>
      <c r="T66" s="38" t="s">
        <v>89</v>
      </c>
      <c r="U66" s="38" t="s">
        <v>78</v>
      </c>
      <c r="V66" s="38" t="s">
        <v>90</v>
      </c>
      <c r="W66" s="16"/>
      <c r="X66" s="16"/>
      <c r="Y66" s="16"/>
      <c r="Z66" s="16"/>
      <c r="AA66" s="16"/>
      <c r="AB66" s="16"/>
      <c r="AC66" s="16"/>
      <c r="AD66" s="16"/>
      <c r="AE66" s="16"/>
      <c r="AF66" s="16"/>
      <c r="AG66" s="16"/>
      <c r="AH66" s="16"/>
      <c r="AI66" s="16"/>
      <c r="AJ66" s="16"/>
      <c r="AK66" s="16"/>
      <c r="AL66" s="16"/>
      <c r="AM66" s="16"/>
      <c r="AN66" s="16"/>
      <c r="AO66" s="16"/>
      <c r="AP66" s="16"/>
      <c r="AQ66" s="16"/>
    </row>
    <row r="67" customFormat="false" ht="41.75" hidden="false" customHeight="true" outlineLevel="0" collapsed="false">
      <c r="A67" s="17"/>
      <c r="B67" s="68" t="s">
        <v>207</v>
      </c>
      <c r="C67" s="32" t="s">
        <v>208</v>
      </c>
      <c r="D67" s="72"/>
      <c r="E67" s="72"/>
      <c r="F67" s="72"/>
      <c r="G67" s="72" t="n">
        <v>1</v>
      </c>
      <c r="H67" s="32" t="s">
        <v>209</v>
      </c>
      <c r="I67" s="72"/>
      <c r="J67" s="72"/>
      <c r="K67" s="72"/>
      <c r="L67" s="72" t="n">
        <v>1</v>
      </c>
      <c r="M67" s="32" t="s">
        <v>210</v>
      </c>
      <c r="N67" s="72"/>
      <c r="O67" s="72"/>
      <c r="P67" s="72"/>
      <c r="Q67" s="72" t="n">
        <v>1</v>
      </c>
      <c r="R67" s="32" t="s">
        <v>211</v>
      </c>
      <c r="S67" s="72"/>
      <c r="T67" s="72"/>
      <c r="U67" s="72"/>
      <c r="V67" s="72" t="n">
        <v>1</v>
      </c>
      <c r="W67" s="16"/>
      <c r="X67" s="16"/>
      <c r="Y67" s="16"/>
      <c r="Z67" s="16"/>
      <c r="AA67" s="16"/>
      <c r="AB67" s="16"/>
      <c r="AC67" s="16"/>
      <c r="AD67" s="16"/>
      <c r="AE67" s="16"/>
      <c r="AF67" s="16"/>
      <c r="AG67" s="16"/>
      <c r="AH67" s="16"/>
      <c r="AI67" s="16"/>
      <c r="AJ67" s="16"/>
      <c r="AK67" s="16"/>
      <c r="AL67" s="16"/>
      <c r="AM67" s="16"/>
      <c r="AN67" s="16"/>
      <c r="AO67" s="16"/>
      <c r="AP67" s="16"/>
      <c r="AQ67" s="16"/>
    </row>
    <row r="68" customFormat="false" ht="55.2" hidden="false" customHeight="false" outlineLevel="0" collapsed="false">
      <c r="A68" s="17"/>
      <c r="B68" s="17"/>
      <c r="C68" s="32" t="s">
        <v>212</v>
      </c>
      <c r="D68" s="72"/>
      <c r="E68" s="72"/>
      <c r="F68" s="72"/>
      <c r="G68" s="72" t="n">
        <v>1</v>
      </c>
      <c r="H68" s="32" t="s">
        <v>213</v>
      </c>
      <c r="I68" s="72"/>
      <c r="J68" s="72"/>
      <c r="K68" s="72"/>
      <c r="L68" s="72" t="n">
        <v>1</v>
      </c>
      <c r="M68" s="32" t="s">
        <v>214</v>
      </c>
      <c r="N68" s="72"/>
      <c r="O68" s="72"/>
      <c r="P68" s="72"/>
      <c r="Q68" s="72" t="n">
        <v>1</v>
      </c>
      <c r="R68" s="32" t="s">
        <v>215</v>
      </c>
      <c r="S68" s="72"/>
      <c r="T68" s="72"/>
      <c r="U68" s="72"/>
      <c r="V68" s="72" t="n">
        <v>1</v>
      </c>
      <c r="W68" s="16"/>
      <c r="X68" s="16"/>
      <c r="Y68" s="16"/>
      <c r="Z68" s="16"/>
      <c r="AA68" s="16"/>
      <c r="AB68" s="16"/>
      <c r="AC68" s="16"/>
      <c r="AD68" s="16"/>
      <c r="AE68" s="16"/>
      <c r="AF68" s="16"/>
      <c r="AG68" s="16"/>
      <c r="AH68" s="16"/>
      <c r="AI68" s="16"/>
      <c r="AJ68" s="16"/>
      <c r="AK68" s="16"/>
      <c r="AL68" s="16"/>
      <c r="AM68" s="16"/>
      <c r="AN68" s="16"/>
      <c r="AO68" s="16"/>
      <c r="AP68" s="16"/>
      <c r="AQ68" s="16"/>
    </row>
    <row r="69" customFormat="false" ht="55.2" hidden="false" customHeight="false" outlineLevel="0" collapsed="false">
      <c r="A69" s="17"/>
      <c r="B69" s="17"/>
      <c r="C69" s="73"/>
      <c r="D69" s="73"/>
      <c r="E69" s="73"/>
      <c r="F69" s="73"/>
      <c r="G69" s="73"/>
      <c r="H69" s="73"/>
      <c r="I69" s="73"/>
      <c r="J69" s="73"/>
      <c r="K69" s="73"/>
      <c r="L69" s="73"/>
      <c r="M69" s="32" t="s">
        <v>216</v>
      </c>
      <c r="N69" s="72"/>
      <c r="O69" s="72"/>
      <c r="P69" s="72"/>
      <c r="Q69" s="72" t="n">
        <v>1</v>
      </c>
      <c r="R69" s="32" t="s">
        <v>217</v>
      </c>
      <c r="S69" s="72"/>
      <c r="T69" s="72"/>
      <c r="U69" s="72"/>
      <c r="V69" s="72" t="n">
        <v>1</v>
      </c>
      <c r="W69" s="16"/>
      <c r="X69" s="16"/>
      <c r="Y69" s="16"/>
      <c r="Z69" s="16"/>
      <c r="AA69" s="16"/>
      <c r="AB69" s="16"/>
      <c r="AC69" s="16"/>
      <c r="AD69" s="16"/>
      <c r="AE69" s="16"/>
      <c r="AF69" s="16"/>
      <c r="AG69" s="16"/>
      <c r="AH69" s="16"/>
      <c r="AI69" s="16"/>
      <c r="AJ69" s="16"/>
      <c r="AK69" s="16"/>
      <c r="AL69" s="16"/>
      <c r="AM69" s="16"/>
      <c r="AN69" s="16"/>
      <c r="AO69" s="16"/>
      <c r="AP69" s="16"/>
      <c r="AQ69" s="16"/>
    </row>
    <row r="70" customFormat="false" ht="28.35" hidden="false" customHeight="false" outlineLevel="0" collapsed="false">
      <c r="A70" s="17"/>
      <c r="B70" s="17"/>
      <c r="C70" s="17"/>
      <c r="D70" s="73"/>
      <c r="E70" s="73"/>
      <c r="F70" s="73"/>
      <c r="G70" s="73"/>
      <c r="H70" s="73"/>
      <c r="I70" s="73"/>
      <c r="J70" s="73"/>
      <c r="K70" s="73"/>
      <c r="L70" s="73"/>
      <c r="M70" s="32" t="s">
        <v>218</v>
      </c>
      <c r="N70" s="72"/>
      <c r="O70" s="72"/>
      <c r="P70" s="72"/>
      <c r="Q70" s="72" t="n">
        <v>1</v>
      </c>
      <c r="R70" s="32" t="s">
        <v>219</v>
      </c>
      <c r="S70" s="72"/>
      <c r="T70" s="72"/>
      <c r="U70" s="72"/>
      <c r="V70" s="72" t="n">
        <v>1</v>
      </c>
      <c r="W70" s="16"/>
      <c r="X70" s="16"/>
      <c r="Y70" s="16"/>
      <c r="Z70" s="16"/>
      <c r="AA70" s="16"/>
      <c r="AB70" s="16"/>
      <c r="AC70" s="16"/>
      <c r="AD70" s="16"/>
      <c r="AE70" s="16"/>
      <c r="AF70" s="16"/>
      <c r="AG70" s="16"/>
      <c r="AH70" s="16"/>
      <c r="AI70" s="16"/>
      <c r="AJ70" s="16"/>
      <c r="AK70" s="16"/>
      <c r="AL70" s="16"/>
      <c r="AM70" s="16"/>
      <c r="AN70" s="16"/>
      <c r="AO70" s="16"/>
      <c r="AP70" s="16"/>
      <c r="AQ70" s="16"/>
    </row>
    <row r="71" customFormat="false" ht="15.75" hidden="false" customHeight="true" outlineLevel="0" collapsed="false">
      <c r="A71" s="52"/>
      <c r="B71" s="34" t="s">
        <v>88</v>
      </c>
      <c r="C71" s="34"/>
      <c r="D71" s="50" t="e">
        <f aca="false">IF( AND(COUNT(D67:G67)=1,COUNT(D68:G68)=1), (SUM(F67:F68) + (SUM(E67:E68)/2)) / COUNTBLANK(G67:G68), "Error - check cell values")</f>
        <v>#DIV/0!</v>
      </c>
      <c r="E71" s="50"/>
      <c r="F71" s="51" t="n">
        <f aca="false">COUNTBLANK(G67:G68)</f>
        <v>0</v>
      </c>
      <c r="G71" s="51" t="n">
        <f aca="false">ROWS(G67:G68)</f>
        <v>2</v>
      </c>
      <c r="H71" s="52" t="s">
        <v>88</v>
      </c>
      <c r="I71" s="50" t="e">
        <f aca="false">IF( AND(COUNT(I67:L67)=1,COUNT(I68:L68)=1), (SUM(K67:K68) + (SUM(J67:J68)/2)) / COUNTBLANK(L67:L68), "Error - check cell values")</f>
        <v>#DIV/0!</v>
      </c>
      <c r="J71" s="50"/>
      <c r="K71" s="51" t="n">
        <f aca="false">COUNTBLANK(L67:L68)</f>
        <v>0</v>
      </c>
      <c r="L71" s="51" t="n">
        <f aca="false">ROWS(L67:L68)</f>
        <v>2</v>
      </c>
      <c r="M71" s="52" t="s">
        <v>88</v>
      </c>
      <c r="N71" s="50" t="e">
        <f aca="false">IF( AND(COUNT(N67:Q67)=1,COUNT(N68:Q68)=1,COUNT(N69:Q69)=1,COUNT(N70:Q70)=1), (SUM(P67:P70) + (SUM(O67:O70)/2)) / COUNTBLANK(Q67:Q70), "Error - check cell values")</f>
        <v>#DIV/0!</v>
      </c>
      <c r="O71" s="50"/>
      <c r="P71" s="51" t="n">
        <f aca="false">COUNTBLANK(Q67:Q70)</f>
        <v>0</v>
      </c>
      <c r="Q71" s="51" t="n">
        <f aca="false">ROWS(Q67:Q70)</f>
        <v>4</v>
      </c>
      <c r="R71" s="52" t="s">
        <v>88</v>
      </c>
      <c r="S71" s="50" t="e">
        <f aca="false">IF( AND(COUNT(S67:V67)=1,COUNT(S68:V68)=1,COUNT(S69:V69)=1,COUNT(S70:V70)=1), (SUM(U67:U70) + (SUM(T67:T70)/2)) / COUNTBLANK(V67:V70), "Error - check cell values")</f>
        <v>#DIV/0!</v>
      </c>
      <c r="T71" s="50"/>
      <c r="U71" s="51" t="n">
        <f aca="false">COUNTBLANK(V67:V70)</f>
        <v>0</v>
      </c>
      <c r="V71" s="51" t="n">
        <f aca="false">ROWS(V67:V70)</f>
        <v>4</v>
      </c>
      <c r="W71" s="22"/>
      <c r="X71" s="22"/>
      <c r="Y71" s="22"/>
      <c r="Z71" s="22"/>
      <c r="AA71" s="22"/>
      <c r="AB71" s="22"/>
      <c r="AC71" s="22"/>
      <c r="AD71" s="22"/>
      <c r="AE71" s="22"/>
      <c r="AF71" s="22"/>
      <c r="AG71" s="22"/>
      <c r="AH71" s="22"/>
      <c r="AI71" s="22"/>
      <c r="AJ71" s="22"/>
      <c r="AK71" s="22"/>
      <c r="AL71" s="22"/>
      <c r="AM71" s="22"/>
      <c r="AN71" s="22"/>
      <c r="AO71" s="22"/>
      <c r="AP71" s="22"/>
      <c r="AQ71" s="22"/>
    </row>
    <row r="72" customFormat="false" ht="31.2" hidden="false" customHeight="false" outlineLevel="0" collapsed="false">
      <c r="A72" s="74"/>
      <c r="B72" s="75"/>
      <c r="C72" s="75"/>
      <c r="D72" s="74" t="s">
        <v>77</v>
      </c>
      <c r="E72" s="74" t="s">
        <v>89</v>
      </c>
      <c r="F72" s="74" t="s">
        <v>78</v>
      </c>
      <c r="G72" s="74" t="s">
        <v>90</v>
      </c>
      <c r="H72" s="76"/>
      <c r="I72" s="74" t="s">
        <v>77</v>
      </c>
      <c r="J72" s="74" t="s">
        <v>89</v>
      </c>
      <c r="K72" s="74" t="s">
        <v>78</v>
      </c>
      <c r="L72" s="74" t="s">
        <v>90</v>
      </c>
      <c r="M72" s="76"/>
      <c r="N72" s="74" t="s">
        <v>77</v>
      </c>
      <c r="O72" s="74" t="s">
        <v>89</v>
      </c>
      <c r="P72" s="74" t="s">
        <v>78</v>
      </c>
      <c r="Q72" s="74" t="s">
        <v>90</v>
      </c>
      <c r="R72" s="76"/>
      <c r="S72" s="74" t="s">
        <v>77</v>
      </c>
      <c r="T72" s="74" t="s">
        <v>89</v>
      </c>
      <c r="U72" s="74" t="s">
        <v>78</v>
      </c>
      <c r="V72" s="74" t="s">
        <v>90</v>
      </c>
      <c r="W72" s="16"/>
      <c r="X72" s="16"/>
      <c r="Y72" s="16"/>
      <c r="Z72" s="16"/>
      <c r="AA72" s="16"/>
      <c r="AB72" s="16"/>
      <c r="AC72" s="16"/>
      <c r="AD72" s="16"/>
      <c r="AE72" s="16"/>
      <c r="AF72" s="16"/>
      <c r="AG72" s="16"/>
      <c r="AH72" s="16"/>
      <c r="AI72" s="16"/>
      <c r="AJ72" s="16"/>
      <c r="AK72" s="16"/>
      <c r="AL72" s="16"/>
      <c r="AM72" s="16"/>
      <c r="AN72" s="16"/>
      <c r="AO72" s="16"/>
      <c r="AP72" s="16"/>
      <c r="AQ72" s="16"/>
    </row>
    <row r="73" customFormat="false" ht="69.15" hidden="false" customHeight="true" outlineLevel="0" collapsed="false">
      <c r="A73" s="17" t="s">
        <v>220</v>
      </c>
      <c r="B73" s="40" t="s">
        <v>221</v>
      </c>
      <c r="C73" s="26" t="s">
        <v>222</v>
      </c>
      <c r="D73" s="22"/>
      <c r="E73" s="22"/>
      <c r="F73" s="22"/>
      <c r="G73" s="22" t="n">
        <v>1</v>
      </c>
      <c r="H73" s="26" t="s">
        <v>223</v>
      </c>
      <c r="I73" s="22"/>
      <c r="J73" s="22"/>
      <c r="K73" s="22"/>
      <c r="L73" s="22" t="n">
        <v>1</v>
      </c>
      <c r="M73" s="26" t="s">
        <v>224</v>
      </c>
      <c r="N73" s="22"/>
      <c r="O73" s="22"/>
      <c r="Q73" s="22" t="n">
        <v>1</v>
      </c>
      <c r="R73" s="26" t="s">
        <v>225</v>
      </c>
      <c r="S73" s="22"/>
      <c r="T73" s="22"/>
      <c r="U73" s="22"/>
      <c r="V73" s="22" t="n">
        <v>1</v>
      </c>
      <c r="W73" s="16"/>
      <c r="X73" s="16"/>
      <c r="Y73" s="16"/>
      <c r="Z73" s="16"/>
      <c r="AA73" s="16"/>
      <c r="AB73" s="16"/>
      <c r="AC73" s="16"/>
      <c r="AD73" s="16"/>
      <c r="AE73" s="16"/>
      <c r="AF73" s="16"/>
      <c r="AG73" s="16"/>
      <c r="AH73" s="16"/>
      <c r="AI73" s="16"/>
      <c r="AJ73" s="16"/>
      <c r="AK73" s="16"/>
      <c r="AL73" s="16"/>
      <c r="AM73" s="16"/>
      <c r="AN73" s="16"/>
      <c r="AO73" s="16"/>
      <c r="AP73" s="16"/>
      <c r="AQ73" s="16"/>
    </row>
    <row r="74" customFormat="false" ht="69.15" hidden="false" customHeight="false" outlineLevel="0" collapsed="false">
      <c r="A74" s="17"/>
      <c r="B74" s="17"/>
      <c r="C74" s="26" t="s">
        <v>226</v>
      </c>
      <c r="D74" s="22"/>
      <c r="E74" s="22"/>
      <c r="F74" s="22"/>
      <c r="G74" s="22" t="n">
        <v>1</v>
      </c>
      <c r="H74" s="26" t="s">
        <v>227</v>
      </c>
      <c r="I74" s="22"/>
      <c r="J74" s="22"/>
      <c r="K74" s="22"/>
      <c r="L74" s="22" t="n">
        <v>1</v>
      </c>
      <c r="M74" s="26" t="s">
        <v>228</v>
      </c>
      <c r="N74" s="22"/>
      <c r="O74" s="22"/>
      <c r="Q74" s="22" t="n">
        <v>1</v>
      </c>
      <c r="R74" s="26" t="s">
        <v>229</v>
      </c>
      <c r="S74" s="22"/>
      <c r="T74" s="22"/>
      <c r="U74" s="22"/>
      <c r="V74" s="22" t="n">
        <v>1</v>
      </c>
      <c r="W74" s="16"/>
      <c r="X74" s="16"/>
      <c r="Y74" s="16"/>
      <c r="Z74" s="16"/>
      <c r="AA74" s="16"/>
      <c r="AB74" s="16"/>
      <c r="AC74" s="16"/>
      <c r="AD74" s="16"/>
      <c r="AE74" s="16"/>
      <c r="AF74" s="16"/>
      <c r="AG74" s="16"/>
      <c r="AH74" s="16"/>
      <c r="AI74" s="16"/>
      <c r="AJ74" s="16"/>
      <c r="AK74" s="16"/>
      <c r="AL74" s="16"/>
      <c r="AM74" s="16"/>
      <c r="AN74" s="16"/>
      <c r="AO74" s="16"/>
      <c r="AP74" s="16"/>
      <c r="AQ74" s="16"/>
    </row>
    <row r="75" customFormat="false" ht="55.2" hidden="false" customHeight="false" outlineLevel="0" collapsed="false">
      <c r="A75" s="17"/>
      <c r="B75" s="17"/>
      <c r="C75" s="26" t="s">
        <v>230</v>
      </c>
      <c r="D75" s="22"/>
      <c r="E75" s="22"/>
      <c r="F75" s="22"/>
      <c r="G75" s="22" t="n">
        <v>1</v>
      </c>
      <c r="H75" s="26" t="s">
        <v>231</v>
      </c>
      <c r="I75" s="22"/>
      <c r="J75" s="22"/>
      <c r="K75" s="22"/>
      <c r="L75" s="22" t="n">
        <v>1</v>
      </c>
      <c r="M75" s="26" t="s">
        <v>232</v>
      </c>
      <c r="N75" s="22"/>
      <c r="O75" s="22"/>
      <c r="Q75" s="22" t="n">
        <v>1</v>
      </c>
      <c r="R75" s="26" t="s">
        <v>233</v>
      </c>
      <c r="S75" s="22"/>
      <c r="T75" s="22"/>
      <c r="U75" s="22"/>
      <c r="V75" s="22" t="n">
        <v>1</v>
      </c>
      <c r="W75" s="16"/>
      <c r="X75" s="16"/>
      <c r="Y75" s="16"/>
      <c r="Z75" s="16"/>
      <c r="AA75" s="16"/>
      <c r="AB75" s="16"/>
      <c r="AC75" s="16"/>
      <c r="AD75" s="16"/>
      <c r="AE75" s="16"/>
      <c r="AF75" s="16"/>
      <c r="AG75" s="16"/>
      <c r="AH75" s="16"/>
      <c r="AI75" s="16"/>
      <c r="AJ75" s="16"/>
      <c r="AK75" s="16"/>
      <c r="AL75" s="16"/>
      <c r="AM75" s="16"/>
      <c r="AN75" s="16"/>
      <c r="AO75" s="16"/>
      <c r="AP75" s="16"/>
      <c r="AQ75" s="16"/>
    </row>
    <row r="76" customFormat="false" ht="68.65" hidden="false" customHeight="false" outlineLevel="0" collapsed="false">
      <c r="A76" s="17"/>
      <c r="B76" s="17"/>
      <c r="C76" s="26" t="s">
        <v>234</v>
      </c>
      <c r="D76" s="22"/>
      <c r="E76" s="22"/>
      <c r="F76" s="22"/>
      <c r="G76" s="22" t="n">
        <v>1</v>
      </c>
      <c r="H76" s="26" t="s">
        <v>235</v>
      </c>
      <c r="I76" s="22"/>
      <c r="J76" s="22"/>
      <c r="K76" s="22"/>
      <c r="L76" s="22" t="n">
        <v>1</v>
      </c>
      <c r="M76" s="26" t="s">
        <v>236</v>
      </c>
      <c r="N76" s="22"/>
      <c r="O76" s="22"/>
      <c r="Q76" s="22" t="n">
        <v>1</v>
      </c>
      <c r="R76" s="26" t="s">
        <v>237</v>
      </c>
      <c r="S76" s="22"/>
      <c r="T76" s="22"/>
      <c r="U76" s="22"/>
      <c r="V76" s="22" t="n">
        <v>1</v>
      </c>
      <c r="W76" s="16"/>
      <c r="X76" s="16"/>
      <c r="Y76" s="16"/>
      <c r="Z76" s="16"/>
      <c r="AA76" s="16"/>
      <c r="AB76" s="16"/>
      <c r="AC76" s="16"/>
      <c r="AD76" s="16"/>
      <c r="AE76" s="16"/>
      <c r="AF76" s="16"/>
      <c r="AG76" s="16"/>
      <c r="AH76" s="16"/>
      <c r="AI76" s="16"/>
      <c r="AJ76" s="16"/>
      <c r="AK76" s="16"/>
      <c r="AL76" s="16"/>
      <c r="AM76" s="16"/>
      <c r="AN76" s="16"/>
      <c r="AO76" s="16"/>
      <c r="AP76" s="16"/>
      <c r="AQ76" s="16"/>
    </row>
    <row r="77" customFormat="false" ht="82.75" hidden="false" customHeight="false" outlineLevel="0" collapsed="false">
      <c r="A77" s="17"/>
      <c r="B77" s="17"/>
      <c r="C77" s="26" t="s">
        <v>238</v>
      </c>
      <c r="D77" s="22"/>
      <c r="E77" s="22"/>
      <c r="F77" s="22"/>
      <c r="G77" s="22" t="n">
        <v>1</v>
      </c>
      <c r="H77" s="26" t="s">
        <v>239</v>
      </c>
      <c r="I77" s="22"/>
      <c r="J77" s="22"/>
      <c r="K77" s="22"/>
      <c r="L77" s="22" t="n">
        <v>1</v>
      </c>
      <c r="M77" s="26" t="s">
        <v>240</v>
      </c>
      <c r="N77" s="22"/>
      <c r="O77" s="22"/>
      <c r="P77" s="22"/>
      <c r="Q77" s="22" t="n">
        <v>1</v>
      </c>
      <c r="R77" s="26" t="s">
        <v>241</v>
      </c>
      <c r="S77" s="22"/>
      <c r="T77" s="22"/>
      <c r="U77" s="22"/>
      <c r="V77" s="22" t="n">
        <v>1</v>
      </c>
      <c r="W77" s="16"/>
      <c r="X77" s="16"/>
      <c r="Y77" s="16"/>
      <c r="Z77" s="16"/>
      <c r="AA77" s="16"/>
      <c r="AB77" s="16"/>
      <c r="AC77" s="16"/>
      <c r="AD77" s="16"/>
      <c r="AE77" s="16"/>
      <c r="AF77" s="16"/>
      <c r="AG77" s="16"/>
      <c r="AH77" s="16"/>
      <c r="AI77" s="16"/>
      <c r="AJ77" s="16"/>
      <c r="AK77" s="16"/>
      <c r="AL77" s="16"/>
      <c r="AM77" s="16"/>
      <c r="AN77" s="16"/>
      <c r="AO77" s="16"/>
      <c r="AP77" s="16"/>
      <c r="AQ77" s="16"/>
    </row>
    <row r="78" customFormat="false" ht="96.3" hidden="false" customHeight="false" outlineLevel="0" collapsed="false">
      <c r="A78" s="17"/>
      <c r="B78" s="17"/>
      <c r="C78" s="26" t="s">
        <v>242</v>
      </c>
      <c r="D78" s="22"/>
      <c r="E78" s="22"/>
      <c r="F78" s="22"/>
      <c r="G78" s="22" t="n">
        <v>1</v>
      </c>
      <c r="H78" s="26" t="s">
        <v>243</v>
      </c>
      <c r="I78" s="22"/>
      <c r="J78" s="22"/>
      <c r="K78" s="22"/>
      <c r="L78" s="22" t="n">
        <v>1</v>
      </c>
      <c r="M78" s="26" t="s">
        <v>244</v>
      </c>
      <c r="N78" s="22"/>
      <c r="O78" s="22"/>
      <c r="P78" s="22"/>
      <c r="Q78" s="22" t="n">
        <v>1</v>
      </c>
      <c r="R78" s="26" t="s">
        <v>245</v>
      </c>
      <c r="S78" s="22"/>
      <c r="T78" s="22"/>
      <c r="U78" s="22"/>
      <c r="V78" s="22" t="n">
        <v>1</v>
      </c>
      <c r="W78" s="16"/>
      <c r="X78" s="16"/>
      <c r="Y78" s="16"/>
      <c r="Z78" s="16"/>
      <c r="AA78" s="16"/>
      <c r="AB78" s="16"/>
      <c r="AC78" s="16"/>
      <c r="AD78" s="16"/>
      <c r="AE78" s="16"/>
      <c r="AF78" s="16"/>
      <c r="AG78" s="16"/>
      <c r="AH78" s="16"/>
      <c r="AI78" s="16"/>
      <c r="AJ78" s="16"/>
      <c r="AK78" s="16"/>
      <c r="AL78" s="16"/>
      <c r="AM78" s="16"/>
      <c r="AN78" s="16"/>
      <c r="AO78" s="16"/>
      <c r="AP78" s="16"/>
      <c r="AQ78" s="16"/>
    </row>
    <row r="79" customFormat="false" ht="55.2" hidden="false" customHeight="false" outlineLevel="0" collapsed="false">
      <c r="A79" s="17"/>
      <c r="B79" s="17"/>
      <c r="C79" s="26" t="s">
        <v>246</v>
      </c>
      <c r="D79" s="22"/>
      <c r="E79" s="22"/>
      <c r="F79" s="22"/>
      <c r="G79" s="22" t="n">
        <v>1</v>
      </c>
      <c r="H79" s="26" t="s">
        <v>247</v>
      </c>
      <c r="I79" s="22"/>
      <c r="J79" s="22"/>
      <c r="K79" s="22"/>
      <c r="L79" s="22" t="n">
        <v>1</v>
      </c>
      <c r="M79" s="26" t="s">
        <v>248</v>
      </c>
      <c r="N79" s="22"/>
      <c r="O79" s="22"/>
      <c r="P79" s="22"/>
      <c r="Q79" s="22" t="n">
        <v>1</v>
      </c>
      <c r="R79" s="26" t="s">
        <v>249</v>
      </c>
      <c r="S79" s="22"/>
      <c r="T79" s="22"/>
      <c r="U79" s="22"/>
      <c r="V79" s="22" t="n">
        <v>1</v>
      </c>
      <c r="W79" s="16"/>
      <c r="X79" s="16"/>
      <c r="Y79" s="16"/>
      <c r="Z79" s="16"/>
      <c r="AA79" s="16"/>
      <c r="AB79" s="16"/>
      <c r="AC79" s="16"/>
      <c r="AD79" s="16"/>
      <c r="AE79" s="16"/>
      <c r="AF79" s="16"/>
      <c r="AG79" s="16"/>
      <c r="AH79" s="16"/>
      <c r="AI79" s="16"/>
      <c r="AJ79" s="16"/>
      <c r="AK79" s="16"/>
      <c r="AL79" s="16"/>
      <c r="AM79" s="16"/>
      <c r="AN79" s="16"/>
      <c r="AO79" s="16"/>
      <c r="AP79" s="16"/>
      <c r="AQ79" s="16"/>
    </row>
    <row r="80" customFormat="false" ht="41.75" hidden="false" customHeight="false" outlineLevel="0" collapsed="false">
      <c r="A80" s="17"/>
      <c r="B80" s="17"/>
      <c r="C80" s="26" t="s">
        <v>250</v>
      </c>
      <c r="D80" s="22"/>
      <c r="E80" s="22"/>
      <c r="F80" s="22"/>
      <c r="G80" s="22" t="n">
        <v>1</v>
      </c>
      <c r="H80" s="26" t="s">
        <v>250</v>
      </c>
      <c r="I80" s="22"/>
      <c r="J80" s="22"/>
      <c r="K80" s="22"/>
      <c r="L80" s="22" t="n">
        <v>1</v>
      </c>
      <c r="M80" s="26" t="s">
        <v>251</v>
      </c>
      <c r="N80" s="22"/>
      <c r="O80" s="22"/>
      <c r="P80" s="22"/>
      <c r="Q80" s="22" t="n">
        <v>1</v>
      </c>
      <c r="R80" s="42" t="s">
        <v>252</v>
      </c>
      <c r="S80" s="22"/>
      <c r="T80" s="22"/>
      <c r="U80" s="22"/>
      <c r="V80" s="22" t="n">
        <v>1</v>
      </c>
      <c r="W80" s="16"/>
      <c r="X80" s="16"/>
      <c r="Y80" s="16"/>
      <c r="Z80" s="16"/>
      <c r="AA80" s="16"/>
      <c r="AB80" s="16"/>
      <c r="AC80" s="16"/>
      <c r="AD80" s="16"/>
      <c r="AE80" s="16"/>
      <c r="AF80" s="16"/>
      <c r="AG80" s="16"/>
      <c r="AH80" s="16"/>
      <c r="AI80" s="16"/>
      <c r="AJ80" s="16"/>
      <c r="AK80" s="16"/>
      <c r="AL80" s="16"/>
      <c r="AM80" s="16"/>
      <c r="AN80" s="16"/>
      <c r="AO80" s="16"/>
      <c r="AP80" s="16"/>
      <c r="AQ80" s="16"/>
    </row>
    <row r="81" customFormat="false" ht="28.35" hidden="false" customHeight="false" outlineLevel="0" collapsed="false">
      <c r="A81" s="17"/>
      <c r="B81" s="17"/>
      <c r="C81" s="26" t="s">
        <v>253</v>
      </c>
      <c r="D81" s="22"/>
      <c r="E81" s="22"/>
      <c r="F81" s="22"/>
      <c r="G81" s="22" t="n">
        <v>1</v>
      </c>
      <c r="H81" s="26" t="s">
        <v>253</v>
      </c>
      <c r="I81" s="22"/>
      <c r="J81" s="22"/>
      <c r="K81" s="22"/>
      <c r="L81" s="22" t="n">
        <v>1</v>
      </c>
      <c r="M81" s="77"/>
      <c r="N81" s="77"/>
      <c r="O81" s="77"/>
      <c r="P81" s="77"/>
      <c r="Q81" s="77"/>
      <c r="R81" s="26" t="s">
        <v>254</v>
      </c>
      <c r="S81" s="22"/>
      <c r="T81" s="22"/>
      <c r="U81" s="22"/>
      <c r="V81" s="22" t="n">
        <v>1</v>
      </c>
      <c r="W81" s="16"/>
      <c r="X81" s="16"/>
      <c r="Y81" s="16"/>
      <c r="Z81" s="16"/>
      <c r="AA81" s="16"/>
      <c r="AB81" s="16"/>
      <c r="AC81" s="16"/>
      <c r="AD81" s="16"/>
      <c r="AE81" s="16"/>
      <c r="AF81" s="16"/>
      <c r="AG81" s="16"/>
      <c r="AH81" s="16"/>
      <c r="AI81" s="16"/>
      <c r="AJ81" s="16"/>
      <c r="AK81" s="16"/>
      <c r="AL81" s="16"/>
      <c r="AM81" s="16"/>
      <c r="AN81" s="16"/>
      <c r="AO81" s="16"/>
      <c r="AP81" s="16"/>
      <c r="AQ81" s="16"/>
    </row>
    <row r="82" customFormat="false" ht="41.75" hidden="false" customHeight="false" outlineLevel="0" collapsed="false">
      <c r="A82" s="17"/>
      <c r="B82" s="17"/>
      <c r="C82" s="78" t="s">
        <v>255</v>
      </c>
      <c r="D82" s="22"/>
      <c r="E82" s="22"/>
      <c r="F82" s="22"/>
      <c r="G82" s="22" t="n">
        <v>1</v>
      </c>
      <c r="H82" s="26" t="s">
        <v>255</v>
      </c>
      <c r="I82" s="22"/>
      <c r="J82" s="22"/>
      <c r="K82" s="22"/>
      <c r="L82" s="22" t="n">
        <v>1</v>
      </c>
      <c r="M82" s="77"/>
      <c r="N82" s="77"/>
      <c r="O82" s="77"/>
      <c r="P82" s="77"/>
      <c r="Q82" s="77"/>
      <c r="R82" s="26" t="s">
        <v>256</v>
      </c>
      <c r="S82" s="22"/>
      <c r="T82" s="22"/>
      <c r="U82" s="22"/>
      <c r="V82" s="22" t="n">
        <v>1</v>
      </c>
      <c r="W82" s="16"/>
      <c r="X82" s="16"/>
      <c r="Y82" s="16"/>
      <c r="Z82" s="16"/>
      <c r="AA82" s="16"/>
      <c r="AB82" s="16"/>
      <c r="AC82" s="16"/>
      <c r="AD82" s="16"/>
      <c r="AE82" s="16"/>
      <c r="AF82" s="16"/>
      <c r="AG82" s="16"/>
      <c r="AH82" s="16"/>
      <c r="AI82" s="16"/>
      <c r="AJ82" s="16"/>
      <c r="AK82" s="16"/>
      <c r="AL82" s="16"/>
      <c r="AM82" s="16"/>
      <c r="AN82" s="16"/>
      <c r="AO82" s="16"/>
      <c r="AP82" s="16"/>
      <c r="AQ82" s="16"/>
    </row>
    <row r="83" customFormat="false" ht="55.2" hidden="false" customHeight="false" outlineLevel="0" collapsed="false">
      <c r="A83" s="17"/>
      <c r="B83" s="17"/>
      <c r="C83" s="23"/>
      <c r="D83" s="23"/>
      <c r="E83" s="23"/>
      <c r="F83" s="23"/>
      <c r="G83" s="23"/>
      <c r="H83" s="23"/>
      <c r="I83" s="23"/>
      <c r="J83" s="23"/>
      <c r="K83" s="23"/>
      <c r="L83" s="23"/>
      <c r="M83" s="23"/>
      <c r="N83" s="23"/>
      <c r="O83" s="23"/>
      <c r="P83" s="23"/>
      <c r="Q83" s="23"/>
      <c r="R83" s="26" t="s">
        <v>257</v>
      </c>
      <c r="S83" s="22"/>
      <c r="T83" s="22"/>
      <c r="U83" s="22"/>
      <c r="V83" s="22" t="n">
        <v>1</v>
      </c>
      <c r="W83" s="16"/>
      <c r="X83" s="16"/>
      <c r="Y83" s="16"/>
      <c r="Z83" s="16"/>
      <c r="AA83" s="16"/>
      <c r="AB83" s="16"/>
      <c r="AC83" s="16"/>
      <c r="AD83" s="16"/>
      <c r="AE83" s="16"/>
      <c r="AF83" s="16"/>
      <c r="AG83" s="16"/>
      <c r="AH83" s="16"/>
      <c r="AI83" s="16"/>
      <c r="AJ83" s="16"/>
      <c r="AK83" s="16"/>
      <c r="AL83" s="16"/>
      <c r="AM83" s="16"/>
      <c r="AN83" s="16"/>
      <c r="AO83" s="16"/>
      <c r="AP83" s="16"/>
      <c r="AQ83" s="16"/>
    </row>
    <row r="84" customFormat="false" ht="28.35" hidden="false" customHeight="false" outlineLevel="0" collapsed="false">
      <c r="A84" s="17"/>
      <c r="B84" s="17"/>
      <c r="C84" s="17"/>
      <c r="D84" s="23"/>
      <c r="E84" s="23"/>
      <c r="F84" s="23"/>
      <c r="G84" s="23"/>
      <c r="H84" s="23"/>
      <c r="I84" s="23"/>
      <c r="J84" s="23"/>
      <c r="K84" s="23"/>
      <c r="L84" s="23"/>
      <c r="M84" s="23"/>
      <c r="N84" s="23"/>
      <c r="O84" s="23"/>
      <c r="P84" s="23"/>
      <c r="Q84" s="23"/>
      <c r="R84" s="26" t="s">
        <v>258</v>
      </c>
      <c r="S84" s="22"/>
      <c r="T84" s="22"/>
      <c r="U84" s="22"/>
      <c r="V84" s="22" t="n">
        <v>1</v>
      </c>
      <c r="W84" s="16"/>
      <c r="X84" s="16"/>
      <c r="Y84" s="16"/>
      <c r="Z84" s="16"/>
      <c r="AA84" s="16"/>
      <c r="AB84" s="16"/>
      <c r="AC84" s="16"/>
      <c r="AD84" s="16"/>
      <c r="AE84" s="16"/>
      <c r="AF84" s="16"/>
      <c r="AG84" s="16"/>
      <c r="AH84" s="16"/>
      <c r="AI84" s="16"/>
      <c r="AJ84" s="16"/>
      <c r="AK84" s="16"/>
      <c r="AL84" s="16"/>
      <c r="AM84" s="16"/>
      <c r="AN84" s="16"/>
      <c r="AO84" s="16"/>
      <c r="AP84" s="16"/>
      <c r="AQ84" s="16"/>
    </row>
    <row r="85" customFormat="false" ht="68.65" hidden="false" customHeight="false" outlineLevel="0" collapsed="false">
      <c r="A85" s="17"/>
      <c r="B85" s="17"/>
      <c r="C85" s="17"/>
      <c r="D85" s="23"/>
      <c r="E85" s="23"/>
      <c r="F85" s="23"/>
      <c r="G85" s="23"/>
      <c r="H85" s="23"/>
      <c r="I85" s="23"/>
      <c r="J85" s="23"/>
      <c r="K85" s="23"/>
      <c r="L85" s="23"/>
      <c r="M85" s="23"/>
      <c r="N85" s="23"/>
      <c r="O85" s="23"/>
      <c r="P85" s="23"/>
      <c r="Q85" s="23"/>
      <c r="R85" s="26" t="s">
        <v>259</v>
      </c>
      <c r="S85" s="22"/>
      <c r="T85" s="22"/>
      <c r="U85" s="22"/>
      <c r="V85" s="22" t="n">
        <v>1</v>
      </c>
      <c r="W85" s="16"/>
      <c r="X85" s="16"/>
      <c r="Y85" s="16"/>
      <c r="Z85" s="16"/>
      <c r="AA85" s="16"/>
      <c r="AB85" s="16"/>
      <c r="AC85" s="16"/>
      <c r="AD85" s="16"/>
      <c r="AE85" s="16"/>
      <c r="AF85" s="16"/>
      <c r="AG85" s="16"/>
      <c r="AH85" s="16"/>
      <c r="AI85" s="16"/>
      <c r="AJ85" s="16"/>
      <c r="AK85" s="16"/>
      <c r="AL85" s="16"/>
      <c r="AM85" s="16"/>
      <c r="AN85" s="16"/>
      <c r="AO85" s="16"/>
      <c r="AP85" s="16"/>
      <c r="AQ85" s="16"/>
    </row>
    <row r="86" customFormat="false" ht="15.75" hidden="false" customHeight="true" outlineLevel="0" collapsed="false">
      <c r="A86" s="79"/>
      <c r="B86" s="80" t="s">
        <v>88</v>
      </c>
      <c r="C86" s="80"/>
      <c r="D86" s="81" t="e">
        <f aca="false">IF( AND(COUNT(D73:G73)=1,COUNT(D74:G74)=1,COUNT(D75:G75)=1,COUNT(D76:G76)=1,COUNT(D77:G77)=1,COUNT(D78:G78)=1,COUNT(D79:G79)=1,COUNT(D80:G80)=1,COUNT(D81:G81)=1,COUNT(D82:G82)=1), (SUM(F73:F82) + (SUM(E73:E82)/2)) / COUNTBLANK(G73:G82), "Error - check cell values")</f>
        <v>#DIV/0!</v>
      </c>
      <c r="E86" s="81"/>
      <c r="F86" s="82" t="n">
        <f aca="false">COUNTBLANK(G73:G82)</f>
        <v>0</v>
      </c>
      <c r="G86" s="82" t="n">
        <f aca="false">ROWS(G73:G82)</f>
        <v>10</v>
      </c>
      <c r="H86" s="83" t="s">
        <v>88</v>
      </c>
      <c r="I86" s="81" t="e">
        <f aca="false">IF( AND(COUNT(I73:L73)=1,COUNT(I74:L74)=1,COUNT(I75:L75)=1,COUNT(I76:L76)=1,COUNT(I77:L77)=1,COUNT(I78:L78)=1,COUNT(I79:L79)=1,COUNT(I80:L80)=1,COUNT(I81:L81)=1,COUNT(I82:L82)=1), (SUM(K73:K82) + (SUM(J73:J82)/2)) / COUNTBLANK(L73:L82), "Error - check cell values")</f>
        <v>#DIV/0!</v>
      </c>
      <c r="J86" s="81"/>
      <c r="K86" s="82" t="n">
        <f aca="false">COUNTBLANK(L73:L82)</f>
        <v>0</v>
      </c>
      <c r="L86" s="82" t="n">
        <f aca="false">ROWS(L73:L82)</f>
        <v>10</v>
      </c>
      <c r="M86" s="83" t="s">
        <v>88</v>
      </c>
      <c r="N86" s="81" t="e">
        <f aca="false">IF( AND(COUNT(N73:Q73)=1,COUNT(N74:Q74)=1,COUNT(N75:Q75)=1,COUNT(N76:Q76)=1,COUNT(N77:Q77)=1,COUNT(N78:Q78)=1,COUNT(N79:Q79)=1,COUNT(N80:Q80)=1), (SUM(P73:P80) + (SUM(O73:O80)/2)) / COUNTBLANK(Q73:Q80), "Error - check cell values")</f>
        <v>#DIV/0!</v>
      </c>
      <c r="O86" s="81"/>
      <c r="P86" s="82" t="n">
        <f aca="false">COUNTBLANK(Q73:Q80)</f>
        <v>0</v>
      </c>
      <c r="Q86" s="82" t="n">
        <f aca="false">ROWS(Q73:Q80)</f>
        <v>8</v>
      </c>
      <c r="R86" s="83" t="s">
        <v>88</v>
      </c>
      <c r="S86" s="81" t="e">
        <f aca="false">IF( AND(COUNT(S73:V73)=1,COUNT(S74:V74)=1,COUNT(S75:V75)=1,COUNT(S76:V76)=1,COUNT(S77:V77)=1,COUNT(S78:V78)=1,COUNT(S79:V79)=1,COUNT(S80:V80)=1,COUNT(S81:V81)=1,COUNT(S82:V82)=1,COUNT(S83:V83)=1,COUNT(S84:V84)=1,COUNT(S85:V85)=1), (SUM(U73:U85) + (SUM(T73:T85)/2)) / COUNTBLANK(V73:V85), "Error - check cell values")</f>
        <v>#DIV/0!</v>
      </c>
      <c r="T86" s="81"/>
      <c r="U86" s="82" t="n">
        <f aca="false">COUNTBLANK(V73:V85)</f>
        <v>0</v>
      </c>
      <c r="V86" s="82" t="n">
        <f aca="false">ROWS(V73:V85)</f>
        <v>13</v>
      </c>
      <c r="W86" s="16"/>
      <c r="X86" s="16"/>
      <c r="Y86" s="16"/>
      <c r="Z86" s="16"/>
      <c r="AA86" s="16"/>
      <c r="AB86" s="16"/>
      <c r="AC86" s="16"/>
      <c r="AD86" s="16"/>
      <c r="AE86" s="16"/>
      <c r="AF86" s="16"/>
      <c r="AG86" s="16"/>
      <c r="AH86" s="16"/>
      <c r="AI86" s="16"/>
      <c r="AJ86" s="16"/>
      <c r="AK86" s="16"/>
      <c r="AL86" s="16"/>
      <c r="AM86" s="16"/>
      <c r="AN86" s="16"/>
      <c r="AO86" s="16"/>
      <c r="AP86" s="16"/>
      <c r="AQ86" s="16"/>
    </row>
    <row r="87" customFormat="false" ht="15.75" hidden="false" customHeight="false" outlineLevel="0" collapsed="false">
      <c r="A87" s="16"/>
      <c r="B87" s="84"/>
      <c r="C87" s="59"/>
      <c r="D87" s="59"/>
      <c r="E87" s="59"/>
      <c r="F87" s="59"/>
      <c r="G87" s="59"/>
      <c r="H87" s="59"/>
      <c r="I87" s="59"/>
      <c r="J87" s="59"/>
      <c r="K87" s="59"/>
      <c r="L87" s="59"/>
      <c r="M87" s="59"/>
      <c r="N87" s="59"/>
      <c r="O87" s="59"/>
      <c r="P87" s="59"/>
      <c r="Q87" s="59"/>
      <c r="R87" s="59"/>
      <c r="S87" s="59"/>
      <c r="T87" s="59"/>
      <c r="U87" s="59"/>
      <c r="V87" s="59"/>
      <c r="W87" s="16"/>
      <c r="X87" s="16"/>
      <c r="Y87" s="16"/>
      <c r="Z87" s="16"/>
      <c r="AA87" s="16"/>
      <c r="AB87" s="16"/>
      <c r="AC87" s="16"/>
      <c r="AD87" s="16"/>
      <c r="AE87" s="16"/>
      <c r="AF87" s="16"/>
      <c r="AG87" s="16"/>
      <c r="AH87" s="16"/>
      <c r="AI87" s="16"/>
      <c r="AJ87" s="16"/>
      <c r="AK87" s="16"/>
      <c r="AL87" s="16"/>
      <c r="AM87" s="16"/>
      <c r="AN87" s="16"/>
      <c r="AO87" s="16"/>
      <c r="AP87" s="16"/>
      <c r="AQ87" s="16"/>
    </row>
    <row r="88" customFormat="false" ht="15.75" hidden="false" customHeight="false" outlineLevel="0" collapsed="false">
      <c r="A88" s="16"/>
      <c r="B88" s="84"/>
      <c r="C88" s="59"/>
      <c r="D88" s="59"/>
      <c r="E88" s="59"/>
      <c r="F88" s="59"/>
      <c r="G88" s="59"/>
      <c r="H88" s="59"/>
      <c r="I88" s="59"/>
      <c r="J88" s="59"/>
      <c r="K88" s="59"/>
      <c r="L88" s="59"/>
      <c r="M88" s="59"/>
      <c r="N88" s="59"/>
      <c r="O88" s="59"/>
      <c r="P88" s="59"/>
      <c r="Q88" s="59"/>
      <c r="R88" s="59"/>
      <c r="S88" s="59"/>
      <c r="T88" s="59"/>
      <c r="U88" s="59"/>
      <c r="V88" s="59"/>
      <c r="W88" s="16"/>
      <c r="X88" s="16"/>
      <c r="Y88" s="16"/>
      <c r="Z88" s="16"/>
      <c r="AA88" s="16"/>
      <c r="AB88" s="16"/>
      <c r="AC88" s="16"/>
      <c r="AD88" s="16"/>
      <c r="AE88" s="16"/>
      <c r="AF88" s="16"/>
      <c r="AG88" s="16"/>
      <c r="AH88" s="16"/>
      <c r="AI88" s="16"/>
      <c r="AJ88" s="16"/>
      <c r="AK88" s="16"/>
      <c r="AL88" s="16"/>
      <c r="AM88" s="16"/>
      <c r="AN88" s="16"/>
      <c r="AO88" s="16"/>
      <c r="AP88" s="16"/>
      <c r="AQ88" s="16"/>
    </row>
    <row r="89" customFormat="false" ht="15.75" hidden="false" customHeight="false" outlineLevel="0" collapsed="false">
      <c r="A89" s="16"/>
      <c r="B89" s="84"/>
      <c r="C89" s="59"/>
      <c r="D89" s="59"/>
      <c r="E89" s="59"/>
      <c r="F89" s="59"/>
      <c r="G89" s="59"/>
      <c r="H89" s="59"/>
      <c r="I89" s="59"/>
      <c r="J89" s="59"/>
      <c r="K89" s="59"/>
      <c r="L89" s="59"/>
      <c r="M89" s="59"/>
      <c r="N89" s="59"/>
      <c r="O89" s="59"/>
      <c r="P89" s="59"/>
      <c r="Q89" s="59"/>
      <c r="R89" s="59"/>
      <c r="S89" s="59"/>
      <c r="T89" s="59"/>
      <c r="U89" s="59"/>
      <c r="V89" s="59"/>
      <c r="W89" s="16"/>
      <c r="X89" s="16"/>
      <c r="Y89" s="16"/>
      <c r="Z89" s="16"/>
      <c r="AA89" s="16"/>
      <c r="AB89" s="16"/>
      <c r="AC89" s="16"/>
      <c r="AD89" s="16"/>
      <c r="AE89" s="16"/>
      <c r="AF89" s="16"/>
      <c r="AG89" s="16"/>
      <c r="AH89" s="16"/>
      <c r="AI89" s="16"/>
      <c r="AJ89" s="16"/>
      <c r="AK89" s="16"/>
      <c r="AL89" s="16"/>
      <c r="AM89" s="16"/>
      <c r="AN89" s="16"/>
      <c r="AO89" s="16"/>
      <c r="AP89" s="16"/>
      <c r="AQ89" s="16"/>
    </row>
    <row r="90" customFormat="false" ht="15.75" hidden="false" customHeight="false" outlineLevel="0" collapsed="false">
      <c r="A90" s="16"/>
      <c r="B90" s="84"/>
      <c r="C90" s="16"/>
      <c r="D90" s="16"/>
      <c r="E90" s="16"/>
      <c r="F90" s="16"/>
      <c r="G90" s="16"/>
      <c r="H90" s="16"/>
      <c r="I90" s="16"/>
      <c r="J90" s="16"/>
      <c r="K90" s="16"/>
      <c r="L90" s="16"/>
      <c r="M90" s="84"/>
      <c r="N90" s="84"/>
      <c r="O90" s="84"/>
      <c r="P90" s="84"/>
      <c r="Q90" s="84"/>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row>
    <row r="91" customFormat="false" ht="15.75" hidden="false" customHeight="false" outlineLevel="0" collapsed="false">
      <c r="A91" s="16"/>
      <c r="B91" s="84"/>
      <c r="C91" s="16"/>
      <c r="D91" s="16"/>
      <c r="E91" s="16"/>
      <c r="F91" s="16"/>
      <c r="G91" s="16"/>
      <c r="H91" s="16"/>
      <c r="I91" s="16"/>
      <c r="J91" s="16"/>
      <c r="K91" s="16"/>
      <c r="L91" s="16"/>
      <c r="M91" s="84"/>
      <c r="N91" s="84"/>
      <c r="O91" s="84"/>
      <c r="P91" s="84"/>
      <c r="Q91" s="84"/>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row>
    <row r="92" customFormat="false" ht="15.75" hidden="false" customHeight="false" outlineLevel="0" collapsed="false">
      <c r="A92" s="16"/>
      <c r="B92" s="84"/>
      <c r="C92" s="16"/>
      <c r="D92" s="16"/>
      <c r="E92" s="16"/>
      <c r="F92" s="16"/>
      <c r="G92" s="16"/>
      <c r="H92" s="16"/>
      <c r="I92" s="16"/>
      <c r="J92" s="16"/>
      <c r="K92" s="16"/>
      <c r="L92" s="16"/>
      <c r="M92" s="84"/>
      <c r="N92" s="84"/>
      <c r="O92" s="84"/>
      <c r="P92" s="84"/>
      <c r="Q92" s="84"/>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row>
    <row r="93" customFormat="false" ht="15.75" hidden="false" customHeight="false" outlineLevel="0" collapsed="false">
      <c r="A93" s="16"/>
      <c r="B93" s="84"/>
      <c r="C93" s="16"/>
      <c r="D93" s="16"/>
      <c r="E93" s="16"/>
      <c r="F93" s="16"/>
      <c r="G93" s="16"/>
      <c r="H93" s="16"/>
      <c r="I93" s="16"/>
      <c r="J93" s="16"/>
      <c r="K93" s="16"/>
      <c r="L93" s="16"/>
      <c r="M93" s="84"/>
      <c r="N93" s="84"/>
      <c r="O93" s="84"/>
      <c r="P93" s="84"/>
      <c r="Q93" s="84"/>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row>
    <row r="94" customFormat="false" ht="15.75" hidden="false" customHeight="false" outlineLevel="0" collapsed="false">
      <c r="A94" s="16"/>
      <c r="B94" s="84"/>
      <c r="C94" s="16"/>
      <c r="D94" s="16"/>
      <c r="E94" s="16"/>
      <c r="F94" s="16"/>
      <c r="G94" s="16"/>
      <c r="H94" s="16"/>
      <c r="I94" s="16"/>
      <c r="J94" s="16"/>
      <c r="K94" s="16"/>
      <c r="L94" s="16"/>
      <c r="M94" s="84"/>
      <c r="N94" s="84"/>
      <c r="O94" s="84"/>
      <c r="P94" s="84"/>
      <c r="Q94" s="84"/>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row>
    <row r="95" customFormat="false" ht="15.75" hidden="false" customHeight="false" outlineLevel="0" collapsed="false">
      <c r="A95" s="16"/>
      <c r="B95" s="84"/>
      <c r="C95" s="16"/>
      <c r="D95" s="16"/>
      <c r="E95" s="16"/>
      <c r="F95" s="16"/>
      <c r="G95" s="16"/>
      <c r="H95" s="16"/>
      <c r="I95" s="16"/>
      <c r="J95" s="16"/>
      <c r="K95" s="16"/>
      <c r="L95" s="16"/>
      <c r="M95" s="84"/>
      <c r="N95" s="84"/>
      <c r="O95" s="84"/>
      <c r="P95" s="84"/>
      <c r="Q95" s="84"/>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row>
    <row r="96" customFormat="false" ht="15.75" hidden="false" customHeight="false" outlineLevel="0" collapsed="false">
      <c r="A96" s="16"/>
      <c r="B96" s="84"/>
      <c r="C96" s="16"/>
      <c r="D96" s="16"/>
      <c r="E96" s="16"/>
      <c r="F96" s="16"/>
      <c r="G96" s="16"/>
      <c r="H96" s="16"/>
      <c r="I96" s="16"/>
      <c r="J96" s="16"/>
      <c r="K96" s="16"/>
      <c r="L96" s="16"/>
      <c r="M96" s="84"/>
      <c r="N96" s="84"/>
      <c r="O96" s="84"/>
      <c r="P96" s="84"/>
      <c r="Q96" s="84"/>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row>
    <row r="97" customFormat="false" ht="15.75" hidden="false" customHeight="false" outlineLevel="0" collapsed="false">
      <c r="A97" s="16"/>
      <c r="B97" s="84"/>
      <c r="C97" s="16"/>
      <c r="D97" s="16"/>
      <c r="E97" s="16"/>
      <c r="F97" s="16"/>
      <c r="G97" s="16"/>
      <c r="H97" s="16"/>
      <c r="I97" s="16"/>
      <c r="J97" s="16"/>
      <c r="K97" s="16"/>
      <c r="L97" s="16"/>
      <c r="M97" s="84"/>
      <c r="N97" s="84"/>
      <c r="O97" s="84"/>
      <c r="P97" s="84"/>
      <c r="Q97" s="84"/>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row>
    <row r="98" customFormat="false" ht="15.75" hidden="false" customHeight="false" outlineLevel="0" collapsed="false">
      <c r="A98" s="16"/>
      <c r="B98" s="84"/>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row>
    <row r="99" customFormat="false" ht="15.75" hidden="false" customHeight="false" outlineLevel="0" collapsed="false">
      <c r="A99" s="16"/>
      <c r="B99" s="84"/>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row>
    <row r="100" customFormat="false" ht="15.75" hidden="false" customHeight="false" outlineLevel="0" collapsed="false">
      <c r="A100" s="16"/>
      <c r="B100" s="84"/>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row>
    <row r="101" customFormat="false" ht="15.75" hidden="false" customHeight="false" outlineLevel="0" collapsed="false">
      <c r="A101" s="16"/>
      <c r="B101" s="84"/>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row>
    <row r="102" customFormat="false" ht="15.75" hidden="false" customHeight="false" outlineLevel="0" collapsed="false">
      <c r="A102" s="16"/>
      <c r="B102" s="84"/>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row>
    <row r="103" customFormat="false" ht="15.75" hidden="false" customHeight="false" outlineLevel="0" collapsed="false">
      <c r="A103" s="16"/>
      <c r="B103" s="84"/>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row>
    <row r="104" customFormat="false" ht="15.75" hidden="false" customHeight="false" outlineLevel="0" collapsed="false">
      <c r="A104" s="16"/>
      <c r="B104" s="84"/>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row>
    <row r="105" customFormat="false" ht="15.75" hidden="false" customHeight="false" outlineLevel="0" collapsed="false">
      <c r="A105" s="16"/>
      <c r="B105" s="84"/>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row>
    <row r="106" customFormat="false" ht="15.75" hidden="false" customHeight="false" outlineLevel="0" collapsed="false">
      <c r="A106" s="16"/>
      <c r="B106" s="84"/>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row>
    <row r="107" customFormat="false" ht="15.75" hidden="false" customHeight="false" outlineLevel="0" collapsed="false">
      <c r="A107" s="16"/>
      <c r="B107" s="84"/>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row>
    <row r="108" customFormat="false" ht="15.75" hidden="false" customHeight="false" outlineLevel="0" collapsed="false">
      <c r="A108" s="16"/>
      <c r="B108" s="84"/>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row>
    <row r="109" customFormat="false" ht="15.75" hidden="false" customHeight="false" outlineLevel="0" collapsed="false">
      <c r="A109" s="16"/>
      <c r="B109" s="84"/>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row>
    <row r="110" customFormat="false" ht="15.75" hidden="false" customHeight="false" outlineLevel="0" collapsed="false">
      <c r="A110" s="16"/>
      <c r="B110" s="84"/>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row>
    <row r="111" customFormat="false" ht="15.75" hidden="false" customHeight="false" outlineLevel="0" collapsed="false">
      <c r="A111" s="16"/>
      <c r="B111" s="84"/>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row>
    <row r="112" customFormat="false" ht="15.75" hidden="false" customHeight="false" outlineLevel="0" collapsed="false">
      <c r="A112" s="16"/>
      <c r="B112" s="84"/>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row>
    <row r="113" customFormat="false" ht="15.75" hidden="false" customHeight="false" outlineLevel="0" collapsed="false">
      <c r="A113" s="16"/>
      <c r="B113" s="84"/>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row>
    <row r="114" customFormat="false" ht="15.75" hidden="false" customHeight="false" outlineLevel="0" collapsed="false">
      <c r="A114" s="16"/>
      <c r="B114" s="84"/>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row>
    <row r="115" customFormat="false" ht="15.75" hidden="false" customHeight="false" outlineLevel="0" collapsed="false">
      <c r="A115" s="16"/>
      <c r="B115" s="84"/>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row>
    <row r="116" customFormat="false" ht="15.75" hidden="false" customHeight="false" outlineLevel="0" collapsed="false">
      <c r="A116" s="16"/>
      <c r="B116" s="84"/>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row>
    <row r="117" customFormat="false" ht="15.75" hidden="false" customHeight="false" outlineLevel="0" collapsed="false">
      <c r="A117" s="16"/>
      <c r="B117" s="84"/>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row>
    <row r="118" customFormat="false" ht="15.75" hidden="false" customHeight="false" outlineLevel="0" collapsed="false">
      <c r="A118" s="16"/>
      <c r="B118" s="84"/>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row>
    <row r="119" customFormat="false" ht="15.75" hidden="false" customHeight="false" outlineLevel="0" collapsed="false">
      <c r="A119" s="16"/>
      <c r="B119" s="84"/>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row>
    <row r="120" customFormat="false" ht="15.75" hidden="false" customHeight="false" outlineLevel="0" collapsed="false">
      <c r="A120" s="16"/>
      <c r="B120" s="84"/>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row>
    <row r="121" customFormat="false" ht="15.75" hidden="false" customHeight="false" outlineLevel="0" collapsed="false">
      <c r="A121" s="16"/>
      <c r="B121" s="84"/>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row>
    <row r="122" customFormat="false" ht="15.75" hidden="false" customHeight="false" outlineLevel="0" collapsed="false">
      <c r="A122" s="16"/>
      <c r="B122" s="84"/>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row>
    <row r="123" customFormat="false" ht="15.75" hidden="false" customHeight="false" outlineLevel="0" collapsed="false">
      <c r="A123" s="16"/>
      <c r="B123" s="84"/>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row>
    <row r="124" customFormat="false" ht="15.75" hidden="false" customHeight="false" outlineLevel="0" collapsed="false">
      <c r="A124" s="16"/>
      <c r="B124" s="84"/>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row>
    <row r="125" customFormat="false" ht="15.75" hidden="false" customHeight="false" outlineLevel="0" collapsed="false">
      <c r="A125" s="16"/>
      <c r="B125" s="84"/>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row>
    <row r="126" customFormat="false" ht="15.75" hidden="false" customHeight="false" outlineLevel="0" collapsed="false">
      <c r="A126" s="16"/>
      <c r="B126" s="84"/>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row>
    <row r="127" customFormat="false" ht="15.75" hidden="false" customHeight="false" outlineLevel="0" collapsed="false">
      <c r="A127" s="16"/>
      <c r="B127" s="84"/>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row>
    <row r="128" customFormat="false" ht="15.75" hidden="false" customHeight="false" outlineLevel="0" collapsed="false">
      <c r="A128" s="16"/>
      <c r="B128" s="84"/>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row>
    <row r="129" customFormat="false" ht="15.75" hidden="false" customHeight="false" outlineLevel="0" collapsed="false">
      <c r="A129" s="16"/>
      <c r="B129" s="8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row>
    <row r="130" customFormat="false" ht="15.75" hidden="false" customHeight="false" outlineLevel="0" collapsed="false">
      <c r="A130" s="16"/>
      <c r="B130" s="8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row>
    <row r="131" customFormat="false" ht="15.75" hidden="false" customHeight="false" outlineLevel="0" collapsed="false">
      <c r="A131" s="16"/>
      <c r="B131" s="84"/>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row>
    <row r="132" customFormat="false" ht="15.75" hidden="false" customHeight="false" outlineLevel="0" collapsed="false">
      <c r="A132" s="16"/>
      <c r="B132" s="84"/>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row>
    <row r="133" customFormat="false" ht="15.75" hidden="false" customHeight="false" outlineLevel="0" collapsed="false">
      <c r="A133" s="16"/>
      <c r="B133" s="84"/>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row>
    <row r="134" customFormat="false" ht="15.75" hidden="false" customHeight="false" outlineLevel="0" collapsed="false">
      <c r="A134" s="16"/>
      <c r="B134" s="84"/>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row>
    <row r="135" customFormat="false" ht="15.75" hidden="false" customHeight="false" outlineLevel="0" collapsed="false">
      <c r="A135" s="16"/>
      <c r="B135" s="84"/>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row>
    <row r="136" customFormat="false" ht="15.75" hidden="false" customHeight="false" outlineLevel="0" collapsed="false">
      <c r="A136" s="16"/>
      <c r="B136" s="84"/>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row>
    <row r="137" customFormat="false" ht="15.75" hidden="false" customHeight="false" outlineLevel="0" collapsed="false">
      <c r="A137" s="16"/>
      <c r="B137" s="84"/>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row>
    <row r="138" customFormat="false" ht="15.75" hidden="false" customHeight="false" outlineLevel="0" collapsed="false">
      <c r="A138" s="16"/>
      <c r="B138" s="84"/>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row>
    <row r="139" customFormat="false" ht="15.75" hidden="false" customHeight="false" outlineLevel="0" collapsed="false">
      <c r="A139" s="16"/>
      <c r="B139" s="84"/>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row>
    <row r="140" customFormat="false" ht="15.75" hidden="false" customHeight="false" outlineLevel="0" collapsed="false">
      <c r="A140" s="16"/>
      <c r="B140" s="84"/>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row>
    <row r="141" customFormat="false" ht="15.75" hidden="false" customHeight="false" outlineLevel="0" collapsed="false">
      <c r="A141" s="16"/>
      <c r="B141" s="84"/>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row>
    <row r="142" customFormat="false" ht="15.75" hidden="false" customHeight="false" outlineLevel="0" collapsed="false">
      <c r="A142" s="16"/>
      <c r="B142" s="84"/>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row>
    <row r="143" customFormat="false" ht="15.75" hidden="false" customHeight="false" outlineLevel="0" collapsed="false">
      <c r="A143" s="16"/>
      <c r="B143" s="84"/>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row>
    <row r="144" customFormat="false" ht="15.75" hidden="false" customHeight="false" outlineLevel="0" collapsed="false">
      <c r="A144" s="16"/>
      <c r="B144" s="84"/>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row>
    <row r="145" customFormat="false" ht="15.75" hidden="false" customHeight="false" outlineLevel="0" collapsed="false">
      <c r="A145" s="16"/>
      <c r="B145" s="84"/>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row>
    <row r="146" customFormat="false" ht="15.75" hidden="false" customHeight="false" outlineLevel="0" collapsed="false">
      <c r="A146" s="16"/>
      <c r="B146" s="84"/>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row>
    <row r="147" customFormat="false" ht="15.75" hidden="false" customHeight="false" outlineLevel="0" collapsed="false">
      <c r="A147" s="16"/>
      <c r="B147" s="84"/>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row>
    <row r="148" customFormat="false" ht="15.75" hidden="false" customHeight="false" outlineLevel="0" collapsed="false">
      <c r="A148" s="16"/>
      <c r="B148" s="84"/>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row>
    <row r="149" customFormat="false" ht="15.75" hidden="false" customHeight="false" outlineLevel="0" collapsed="false">
      <c r="A149" s="16"/>
      <c r="B149" s="84"/>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row>
    <row r="150" customFormat="false" ht="15.75" hidden="false" customHeight="false" outlineLevel="0" collapsed="false">
      <c r="A150" s="16"/>
      <c r="B150" s="84"/>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row>
    <row r="151" customFormat="false" ht="15.75" hidden="false" customHeight="false" outlineLevel="0" collapsed="false">
      <c r="A151" s="16"/>
      <c r="B151" s="84"/>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row>
    <row r="152" customFormat="false" ht="15.75" hidden="false" customHeight="false" outlineLevel="0" collapsed="false">
      <c r="A152" s="16"/>
      <c r="B152" s="84"/>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row>
    <row r="153" customFormat="false" ht="15.75" hidden="false" customHeight="false" outlineLevel="0" collapsed="false">
      <c r="A153" s="16"/>
      <c r="B153" s="84"/>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row>
    <row r="154" customFormat="false" ht="15.75" hidden="false" customHeight="false" outlineLevel="0" collapsed="false">
      <c r="A154" s="16"/>
      <c r="B154" s="84"/>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row>
    <row r="155" customFormat="false" ht="15.75" hidden="false" customHeight="false" outlineLevel="0" collapsed="false">
      <c r="A155" s="16"/>
      <c r="B155" s="8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row>
    <row r="156" customFormat="false" ht="15.75" hidden="false" customHeight="false" outlineLevel="0" collapsed="false">
      <c r="A156" s="16"/>
      <c r="B156" s="8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row>
    <row r="157" customFormat="false" ht="15.75" hidden="false" customHeight="false" outlineLevel="0" collapsed="false">
      <c r="A157" s="16"/>
      <c r="B157" s="8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row>
    <row r="158" customFormat="false" ht="15.75" hidden="false" customHeight="false" outlineLevel="0" collapsed="false">
      <c r="A158" s="16"/>
      <c r="B158" s="8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row>
    <row r="159" customFormat="false" ht="15.75" hidden="false" customHeight="false" outlineLevel="0" collapsed="false">
      <c r="A159" s="16"/>
      <c r="B159" s="8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row>
    <row r="160" customFormat="false" ht="15.75" hidden="false" customHeight="false" outlineLevel="0" collapsed="false">
      <c r="A160" s="16"/>
      <c r="B160" s="8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row>
    <row r="161" customFormat="false" ht="15.75" hidden="false" customHeight="false" outlineLevel="0" collapsed="false">
      <c r="A161" s="16"/>
      <c r="B161" s="8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row>
    <row r="162" customFormat="false" ht="15.75" hidden="false" customHeight="false" outlineLevel="0" collapsed="false">
      <c r="A162" s="16"/>
      <c r="B162" s="8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row>
    <row r="163" customFormat="false" ht="15.75" hidden="false" customHeight="false" outlineLevel="0" collapsed="false">
      <c r="A163" s="16"/>
      <c r="B163" s="8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row>
    <row r="164" customFormat="false" ht="15.75" hidden="false" customHeight="false" outlineLevel="0" collapsed="false">
      <c r="A164" s="16"/>
      <c r="B164" s="8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row>
    <row r="165" customFormat="false" ht="15.75" hidden="false" customHeight="false" outlineLevel="0" collapsed="false">
      <c r="A165" s="16"/>
      <c r="B165" s="8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row>
    <row r="166" customFormat="false" ht="15.75" hidden="false" customHeight="false" outlineLevel="0" collapsed="false">
      <c r="A166" s="16"/>
      <c r="B166" s="8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row>
    <row r="167" customFormat="false" ht="15.75" hidden="false" customHeight="false" outlineLevel="0" collapsed="false">
      <c r="A167" s="16"/>
      <c r="B167" s="8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row>
    <row r="168" customFormat="false" ht="15.75" hidden="false" customHeight="false" outlineLevel="0" collapsed="false">
      <c r="A168" s="16"/>
      <c r="B168" s="8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row>
    <row r="169" customFormat="false" ht="15.75" hidden="false" customHeight="false" outlineLevel="0" collapsed="false">
      <c r="A169" s="16"/>
      <c r="B169" s="8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row>
    <row r="170" customFormat="false" ht="15.75" hidden="false" customHeight="false" outlineLevel="0" collapsed="false">
      <c r="A170" s="16"/>
      <c r="B170" s="8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row>
    <row r="171" customFormat="false" ht="15.75" hidden="false" customHeight="false" outlineLevel="0" collapsed="false">
      <c r="A171" s="16"/>
      <c r="B171" s="8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row>
    <row r="172" customFormat="false" ht="15.75" hidden="false" customHeight="false" outlineLevel="0" collapsed="false">
      <c r="A172" s="16"/>
      <c r="B172" s="8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row>
    <row r="173" customFormat="false" ht="15.75" hidden="false" customHeight="false" outlineLevel="0" collapsed="false">
      <c r="A173" s="16"/>
      <c r="B173" s="8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row>
    <row r="174" customFormat="false" ht="15.75" hidden="false" customHeight="false" outlineLevel="0" collapsed="false">
      <c r="A174" s="16"/>
      <c r="B174" s="8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row>
    <row r="175" customFormat="false" ht="15.75" hidden="false" customHeight="false" outlineLevel="0" collapsed="false">
      <c r="A175" s="16"/>
      <c r="B175" s="8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row>
    <row r="176" customFormat="false" ht="15.75" hidden="false" customHeight="false" outlineLevel="0" collapsed="false">
      <c r="A176" s="16"/>
      <c r="B176" s="8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row>
    <row r="177" customFormat="false" ht="15.75" hidden="false" customHeight="false" outlineLevel="0" collapsed="false">
      <c r="A177" s="16"/>
      <c r="B177" s="8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row>
    <row r="178" customFormat="false" ht="15.75" hidden="false" customHeight="false" outlineLevel="0" collapsed="false">
      <c r="A178" s="16"/>
      <c r="B178" s="8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row>
    <row r="179" customFormat="false" ht="15.75" hidden="false" customHeight="false" outlineLevel="0" collapsed="false">
      <c r="A179" s="16"/>
      <c r="B179" s="8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row>
    <row r="180" customFormat="false" ht="15.75" hidden="false" customHeight="false" outlineLevel="0" collapsed="false">
      <c r="A180" s="16"/>
      <c r="B180" s="8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row>
    <row r="181" customFormat="false" ht="15.75" hidden="false" customHeight="false" outlineLevel="0" collapsed="false">
      <c r="A181" s="16"/>
      <c r="B181" s="8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row>
    <row r="182" customFormat="false" ht="15.75" hidden="false" customHeight="false" outlineLevel="0" collapsed="false">
      <c r="A182" s="16"/>
      <c r="B182" s="8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row>
    <row r="183" customFormat="false" ht="15.75" hidden="false" customHeight="false" outlineLevel="0" collapsed="false">
      <c r="A183" s="16"/>
      <c r="B183" s="8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row>
    <row r="184" customFormat="false" ht="15.75" hidden="false" customHeight="false" outlineLevel="0" collapsed="false">
      <c r="A184" s="16"/>
      <c r="B184" s="8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row>
    <row r="185" customFormat="false" ht="15.75" hidden="false" customHeight="false" outlineLevel="0" collapsed="false">
      <c r="A185" s="16"/>
      <c r="B185" s="8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row>
    <row r="186" customFormat="false" ht="15.75" hidden="false" customHeight="false" outlineLevel="0" collapsed="false">
      <c r="A186" s="16"/>
      <c r="B186" s="8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row>
    <row r="187" customFormat="false" ht="15.75" hidden="false" customHeight="false" outlineLevel="0" collapsed="false">
      <c r="A187" s="16"/>
      <c r="B187" s="8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row>
    <row r="188" customFormat="false" ht="15.75" hidden="false" customHeight="false" outlineLevel="0" collapsed="false">
      <c r="A188" s="16"/>
      <c r="B188" s="8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row>
    <row r="189" customFormat="false" ht="15.75" hidden="false" customHeight="false" outlineLevel="0" collapsed="false">
      <c r="A189" s="16"/>
      <c r="B189" s="8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row>
    <row r="190" customFormat="false" ht="15.75" hidden="false" customHeight="false" outlineLevel="0" collapsed="false">
      <c r="A190" s="16"/>
      <c r="B190" s="8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row>
    <row r="191" customFormat="false" ht="15.75" hidden="false" customHeight="false" outlineLevel="0" collapsed="false">
      <c r="A191" s="16"/>
      <c r="B191" s="8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row>
    <row r="192" customFormat="false" ht="15.75" hidden="false" customHeight="false" outlineLevel="0" collapsed="false">
      <c r="A192" s="16"/>
      <c r="B192" s="8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row>
    <row r="193" customFormat="false" ht="15.75" hidden="false" customHeight="false" outlineLevel="0" collapsed="false">
      <c r="A193" s="16"/>
      <c r="B193" s="8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row>
    <row r="194" customFormat="false" ht="15.75" hidden="false" customHeight="false" outlineLevel="0" collapsed="false">
      <c r="A194" s="16"/>
      <c r="B194" s="8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row>
    <row r="195" customFormat="false" ht="15.75" hidden="false" customHeight="false" outlineLevel="0" collapsed="false">
      <c r="A195" s="16"/>
      <c r="B195" s="8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row>
    <row r="196" customFormat="false" ht="15.75" hidden="false" customHeight="false" outlineLevel="0" collapsed="false">
      <c r="A196" s="16"/>
      <c r="B196" s="8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row>
    <row r="197" customFormat="false" ht="15.75" hidden="false" customHeight="false" outlineLevel="0" collapsed="false">
      <c r="A197" s="16"/>
      <c r="B197" s="8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row>
    <row r="198" customFormat="false" ht="15.75" hidden="false" customHeight="false" outlineLevel="0" collapsed="false">
      <c r="A198" s="16"/>
      <c r="B198" s="8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row>
    <row r="199" customFormat="false" ht="15.75" hidden="false" customHeight="false" outlineLevel="0" collapsed="false">
      <c r="A199" s="16"/>
      <c r="B199" s="8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row>
    <row r="200" customFormat="false" ht="15.75" hidden="false" customHeight="false" outlineLevel="0" collapsed="false">
      <c r="A200" s="16"/>
      <c r="B200" s="8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row>
    <row r="201" customFormat="false" ht="15.75" hidden="false" customHeight="false" outlineLevel="0" collapsed="false">
      <c r="A201" s="16"/>
      <c r="B201" s="8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row>
    <row r="202" customFormat="false" ht="15.75" hidden="false" customHeight="false" outlineLevel="0" collapsed="false">
      <c r="A202" s="16"/>
      <c r="B202" s="8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row>
    <row r="203" customFormat="false" ht="15.75" hidden="false" customHeight="false" outlineLevel="0" collapsed="false">
      <c r="A203" s="16"/>
      <c r="B203" s="8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row>
    <row r="204" customFormat="false" ht="15.75" hidden="false" customHeight="false" outlineLevel="0" collapsed="false">
      <c r="A204" s="16"/>
      <c r="B204" s="8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row>
    <row r="205" customFormat="false" ht="15.75" hidden="false" customHeight="false" outlineLevel="0" collapsed="false">
      <c r="A205" s="16"/>
      <c r="B205" s="8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row>
    <row r="206" customFormat="false" ht="15.75" hidden="false" customHeight="false" outlineLevel="0" collapsed="false">
      <c r="A206" s="16"/>
      <c r="B206" s="8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row>
    <row r="207" customFormat="false" ht="15.75" hidden="false" customHeight="false" outlineLevel="0" collapsed="false">
      <c r="A207" s="16"/>
      <c r="B207" s="8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row>
    <row r="208" customFormat="false" ht="15.75" hidden="false" customHeight="false" outlineLevel="0" collapsed="false">
      <c r="A208" s="16"/>
      <c r="B208" s="8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row>
    <row r="209" customFormat="false" ht="15.75" hidden="false" customHeight="false" outlineLevel="0" collapsed="false">
      <c r="A209" s="16"/>
      <c r="B209" s="8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row>
    <row r="210" customFormat="false" ht="15.75" hidden="false" customHeight="false" outlineLevel="0" collapsed="false">
      <c r="A210" s="16"/>
      <c r="B210" s="8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row>
    <row r="211" customFormat="false" ht="15.75" hidden="false" customHeight="false" outlineLevel="0" collapsed="false">
      <c r="A211" s="16"/>
      <c r="B211" s="8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row>
    <row r="212" customFormat="false" ht="15.75" hidden="false" customHeight="false" outlineLevel="0" collapsed="false">
      <c r="A212" s="16"/>
      <c r="B212" s="8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row>
    <row r="213" customFormat="false" ht="15.75" hidden="false" customHeight="false" outlineLevel="0" collapsed="false">
      <c r="A213" s="16"/>
      <c r="B213" s="8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row>
    <row r="214" customFormat="false" ht="15.75" hidden="false" customHeight="false" outlineLevel="0" collapsed="false">
      <c r="A214" s="16"/>
      <c r="B214" s="8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row>
    <row r="215" customFormat="false" ht="15.75" hidden="false" customHeight="false" outlineLevel="0" collapsed="false">
      <c r="A215" s="16"/>
      <c r="B215" s="8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row>
    <row r="216" customFormat="false" ht="15.75" hidden="false" customHeight="false" outlineLevel="0" collapsed="false">
      <c r="A216" s="16"/>
      <c r="B216" s="8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row>
    <row r="217" customFormat="false" ht="15.75" hidden="false" customHeight="false" outlineLevel="0" collapsed="false">
      <c r="A217" s="16"/>
      <c r="B217" s="8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row>
    <row r="218" customFormat="false" ht="15.75" hidden="false" customHeight="false" outlineLevel="0" collapsed="false">
      <c r="A218" s="16"/>
      <c r="B218" s="8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row>
    <row r="219" customFormat="false" ht="15.75" hidden="false" customHeight="false" outlineLevel="0" collapsed="false">
      <c r="A219" s="16"/>
      <c r="B219" s="8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row>
    <row r="220" customFormat="false" ht="15.75" hidden="false" customHeight="false" outlineLevel="0" collapsed="false">
      <c r="A220" s="16"/>
      <c r="B220" s="8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row>
    <row r="221" customFormat="false" ht="15.75" hidden="false" customHeight="false" outlineLevel="0" collapsed="false">
      <c r="A221" s="16"/>
      <c r="B221" s="8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row>
    <row r="222" customFormat="false" ht="15.75" hidden="false" customHeight="false" outlineLevel="0" collapsed="false">
      <c r="A222" s="16"/>
      <c r="B222" s="8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row>
    <row r="223" customFormat="false" ht="15.75" hidden="false" customHeight="false" outlineLevel="0" collapsed="false">
      <c r="A223" s="16"/>
      <c r="B223" s="8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row>
    <row r="224" customFormat="false" ht="15.75" hidden="false" customHeight="false" outlineLevel="0" collapsed="false">
      <c r="A224" s="16"/>
      <c r="B224" s="8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row>
    <row r="225" customFormat="false" ht="15.75" hidden="false" customHeight="false" outlineLevel="0" collapsed="false">
      <c r="A225" s="16"/>
      <c r="B225" s="8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row>
    <row r="226" customFormat="false" ht="15.75" hidden="false" customHeight="false" outlineLevel="0" collapsed="false">
      <c r="A226" s="16"/>
      <c r="B226" s="8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row>
    <row r="227" customFormat="false" ht="15.75" hidden="false" customHeight="false" outlineLevel="0" collapsed="false">
      <c r="A227" s="16"/>
      <c r="B227" s="8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row>
    <row r="228" customFormat="false" ht="15.75" hidden="false" customHeight="false" outlineLevel="0" collapsed="false">
      <c r="A228" s="16"/>
      <c r="B228" s="8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row>
    <row r="229" customFormat="false" ht="15.75" hidden="false" customHeight="false" outlineLevel="0" collapsed="false">
      <c r="A229" s="16"/>
      <c r="B229" s="8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row>
    <row r="230" customFormat="false" ht="15.75" hidden="false" customHeight="false" outlineLevel="0" collapsed="false">
      <c r="A230" s="16"/>
      <c r="B230" s="8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row>
    <row r="231" customFormat="false" ht="15.75" hidden="false" customHeight="false" outlineLevel="0" collapsed="false">
      <c r="A231" s="16"/>
      <c r="B231" s="8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row>
    <row r="232" customFormat="false" ht="15.75" hidden="false" customHeight="false" outlineLevel="0" collapsed="false">
      <c r="A232" s="16"/>
      <c r="B232" s="8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row>
    <row r="233" customFormat="false" ht="15.75" hidden="false" customHeight="false" outlineLevel="0" collapsed="false">
      <c r="A233" s="16"/>
      <c r="B233" s="8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row>
    <row r="234" customFormat="false" ht="15.75" hidden="false" customHeight="false" outlineLevel="0" collapsed="false">
      <c r="A234" s="16"/>
      <c r="B234" s="8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row>
    <row r="235" customFormat="false" ht="15.75" hidden="false" customHeight="false" outlineLevel="0" collapsed="false">
      <c r="A235" s="16"/>
      <c r="B235" s="8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row>
    <row r="236" customFormat="false" ht="15.75" hidden="false" customHeight="false" outlineLevel="0" collapsed="false">
      <c r="A236" s="16"/>
      <c r="B236" s="8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row>
    <row r="237" customFormat="false" ht="15.75" hidden="false" customHeight="false" outlineLevel="0" collapsed="false">
      <c r="A237" s="16"/>
      <c r="B237" s="8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row>
    <row r="238" customFormat="false" ht="15.75" hidden="false" customHeight="false" outlineLevel="0" collapsed="false">
      <c r="A238" s="16"/>
      <c r="B238" s="8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row>
    <row r="239" customFormat="false" ht="15.75" hidden="false" customHeight="false" outlineLevel="0" collapsed="false">
      <c r="A239" s="16"/>
      <c r="B239" s="8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row>
    <row r="240" customFormat="false" ht="15.75" hidden="false" customHeight="false" outlineLevel="0" collapsed="false">
      <c r="A240" s="16"/>
      <c r="B240" s="8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row>
    <row r="241" customFormat="false" ht="15.75" hidden="false" customHeight="false" outlineLevel="0" collapsed="false">
      <c r="A241" s="16"/>
      <c r="B241" s="8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row>
    <row r="242" customFormat="false" ht="15.75" hidden="false" customHeight="false" outlineLevel="0" collapsed="false">
      <c r="A242" s="16"/>
      <c r="B242" s="8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row>
    <row r="243" customFormat="false" ht="15.75" hidden="false" customHeight="false" outlineLevel="0" collapsed="false">
      <c r="A243" s="16"/>
      <c r="B243" s="8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row>
    <row r="244" customFormat="false" ht="15.75" hidden="false" customHeight="false" outlineLevel="0" collapsed="false">
      <c r="A244" s="16"/>
      <c r="B244" s="8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row>
    <row r="245" customFormat="false" ht="15.75" hidden="false" customHeight="false" outlineLevel="0" collapsed="false">
      <c r="A245" s="16"/>
      <c r="B245" s="8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row>
    <row r="246" customFormat="false" ht="15.75" hidden="false" customHeight="false" outlineLevel="0" collapsed="false">
      <c r="A246" s="16"/>
      <c r="B246" s="8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row>
    <row r="247" customFormat="false" ht="15.75" hidden="false" customHeight="false" outlineLevel="0" collapsed="false">
      <c r="A247" s="16"/>
      <c r="B247" s="8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row>
    <row r="248" customFormat="false" ht="15.75" hidden="false" customHeight="false" outlineLevel="0" collapsed="false">
      <c r="A248" s="16"/>
      <c r="B248" s="8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row>
    <row r="249" customFormat="false" ht="15.75" hidden="false" customHeight="false" outlineLevel="0" collapsed="false">
      <c r="A249" s="16"/>
      <c r="B249" s="8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row>
    <row r="250" customFormat="false" ht="15.75" hidden="false" customHeight="false" outlineLevel="0" collapsed="false">
      <c r="A250" s="16"/>
      <c r="B250" s="8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row>
    <row r="251" customFormat="false" ht="15.75" hidden="false" customHeight="false" outlineLevel="0" collapsed="false">
      <c r="A251" s="16"/>
      <c r="B251" s="8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row>
    <row r="252" customFormat="false" ht="15.75" hidden="false" customHeight="false" outlineLevel="0" collapsed="false">
      <c r="A252" s="16"/>
      <c r="B252" s="8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row>
    <row r="253" customFormat="false" ht="15.75" hidden="false" customHeight="false" outlineLevel="0" collapsed="false">
      <c r="A253" s="16"/>
      <c r="B253" s="8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row>
    <row r="254" customFormat="false" ht="15.75" hidden="false" customHeight="false" outlineLevel="0" collapsed="false">
      <c r="A254" s="16"/>
      <c r="B254" s="8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row>
    <row r="255" customFormat="false" ht="15.75" hidden="false" customHeight="false" outlineLevel="0" collapsed="false">
      <c r="A255" s="16"/>
      <c r="B255" s="8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row>
    <row r="256" customFormat="false" ht="15.75" hidden="false" customHeight="false" outlineLevel="0" collapsed="false">
      <c r="A256" s="16"/>
      <c r="B256" s="8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row>
    <row r="257" customFormat="false" ht="15.75" hidden="false" customHeight="false" outlineLevel="0" collapsed="false">
      <c r="A257" s="16"/>
      <c r="B257" s="8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row>
    <row r="258" customFormat="false" ht="15.75" hidden="false" customHeight="false" outlineLevel="0" collapsed="false">
      <c r="A258" s="16"/>
      <c r="B258" s="8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row>
    <row r="259" customFormat="false" ht="15.75" hidden="false" customHeight="false" outlineLevel="0" collapsed="false">
      <c r="A259" s="16"/>
      <c r="B259" s="8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row>
    <row r="260" customFormat="false" ht="15.75" hidden="false" customHeight="false" outlineLevel="0" collapsed="false">
      <c r="A260" s="16"/>
      <c r="B260" s="8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row>
    <row r="261" customFormat="false" ht="15.75" hidden="false" customHeight="false" outlineLevel="0" collapsed="false">
      <c r="A261" s="16"/>
      <c r="B261" s="8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row>
    <row r="262" customFormat="false" ht="15.75" hidden="false" customHeight="false" outlineLevel="0" collapsed="false">
      <c r="A262" s="16"/>
      <c r="B262" s="8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row>
    <row r="263" customFormat="false" ht="15.75" hidden="false" customHeight="false" outlineLevel="0" collapsed="false">
      <c r="A263" s="16"/>
      <c r="B263" s="8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row>
    <row r="264" customFormat="false" ht="15.75" hidden="false" customHeight="false" outlineLevel="0" collapsed="false">
      <c r="A264" s="16"/>
      <c r="B264" s="8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row>
    <row r="265" customFormat="false" ht="15.75" hidden="false" customHeight="false" outlineLevel="0" collapsed="false">
      <c r="A265" s="16"/>
      <c r="B265" s="8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row>
    <row r="266" customFormat="false" ht="15.75" hidden="false" customHeight="false" outlineLevel="0" collapsed="false">
      <c r="A266" s="16"/>
      <c r="B266" s="8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row>
    <row r="267" customFormat="false" ht="15.75" hidden="false" customHeight="false" outlineLevel="0" collapsed="false">
      <c r="A267" s="16"/>
      <c r="B267" s="8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row>
    <row r="268" customFormat="false" ht="15.75" hidden="false" customHeight="false" outlineLevel="0" collapsed="false">
      <c r="A268" s="16"/>
      <c r="B268" s="8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row>
    <row r="269" customFormat="false" ht="15.75" hidden="false" customHeight="false" outlineLevel="0" collapsed="false">
      <c r="A269" s="16"/>
      <c r="B269" s="8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row>
    <row r="270" customFormat="false" ht="15.75" hidden="false" customHeight="false" outlineLevel="0" collapsed="false">
      <c r="A270" s="16"/>
      <c r="B270" s="8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row>
    <row r="271" customFormat="false" ht="15.75" hidden="false" customHeight="false" outlineLevel="0" collapsed="false">
      <c r="A271" s="16"/>
      <c r="B271" s="8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row>
    <row r="272" customFormat="false" ht="15.75" hidden="false" customHeight="false" outlineLevel="0" collapsed="false">
      <c r="A272" s="16"/>
      <c r="B272" s="8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row>
    <row r="273" customFormat="false" ht="15.75" hidden="false" customHeight="false" outlineLevel="0" collapsed="false">
      <c r="A273" s="16"/>
      <c r="B273" s="8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row>
    <row r="274" customFormat="false" ht="15.75" hidden="false" customHeight="false" outlineLevel="0" collapsed="false">
      <c r="A274" s="16"/>
      <c r="B274" s="8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row>
    <row r="275" customFormat="false" ht="15.75" hidden="false" customHeight="false" outlineLevel="0" collapsed="false">
      <c r="A275" s="16"/>
      <c r="B275" s="8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row>
    <row r="276" customFormat="false" ht="15.75" hidden="false" customHeight="false" outlineLevel="0" collapsed="false">
      <c r="A276" s="16"/>
      <c r="B276" s="8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row>
    <row r="277" customFormat="false" ht="15.75" hidden="false" customHeight="false" outlineLevel="0" collapsed="false">
      <c r="A277" s="16"/>
      <c r="B277" s="8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row>
    <row r="278" customFormat="false" ht="15.75" hidden="false" customHeight="false" outlineLevel="0" collapsed="false">
      <c r="A278" s="16"/>
      <c r="B278" s="8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row>
    <row r="279" customFormat="false" ht="15.75" hidden="false" customHeight="false" outlineLevel="0" collapsed="false">
      <c r="A279" s="16"/>
      <c r="B279" s="8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row>
    <row r="280" customFormat="false" ht="15.75" hidden="false" customHeight="false" outlineLevel="0" collapsed="false">
      <c r="A280" s="16"/>
      <c r="B280" s="8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row>
    <row r="281" customFormat="false" ht="15.75" hidden="false" customHeight="false" outlineLevel="0" collapsed="false">
      <c r="A281" s="16"/>
      <c r="B281" s="8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row>
    <row r="282" customFormat="false" ht="15.75" hidden="false" customHeight="false" outlineLevel="0" collapsed="false">
      <c r="A282" s="16"/>
      <c r="B282" s="8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row>
    <row r="283" customFormat="false" ht="15.75" hidden="false" customHeight="false" outlineLevel="0" collapsed="false">
      <c r="A283" s="16"/>
      <c r="B283" s="8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row>
    <row r="284" customFormat="false" ht="15.75" hidden="false" customHeight="false" outlineLevel="0" collapsed="false">
      <c r="A284" s="16"/>
      <c r="B284" s="8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row>
    <row r="285" customFormat="false" ht="15.75" hidden="false" customHeight="false" outlineLevel="0" collapsed="false">
      <c r="A285" s="16"/>
      <c r="B285" s="8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row>
    <row r="286" customFormat="false" ht="15.75" hidden="false" customHeight="false" outlineLevel="0" collapsed="false">
      <c r="A286" s="16"/>
      <c r="B286" s="8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row>
    <row r="287" customFormat="false" ht="15.75" hidden="false" customHeight="false" outlineLevel="0" collapsed="false">
      <c r="A287" s="16"/>
      <c r="B287" s="8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row>
    <row r="288" customFormat="false" ht="15.75" hidden="false" customHeight="false" outlineLevel="0" collapsed="false">
      <c r="A288" s="16"/>
      <c r="B288" s="8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row>
    <row r="289" customFormat="false" ht="15.75" hidden="false" customHeight="false" outlineLevel="0" collapsed="false">
      <c r="A289" s="16"/>
      <c r="B289" s="8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row>
    <row r="290" customFormat="false" ht="15.75" hidden="false" customHeight="false" outlineLevel="0" collapsed="false">
      <c r="A290" s="16"/>
      <c r="B290" s="8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row>
    <row r="291" customFormat="false" ht="15.75" hidden="false" customHeight="false" outlineLevel="0" collapsed="false">
      <c r="A291" s="16"/>
      <c r="B291" s="8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row>
    <row r="292" customFormat="false" ht="15.75" hidden="false" customHeight="false" outlineLevel="0" collapsed="false">
      <c r="A292" s="16"/>
      <c r="B292" s="8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row>
    <row r="293" customFormat="false" ht="15.75" hidden="false" customHeight="false" outlineLevel="0" collapsed="false">
      <c r="A293" s="16"/>
      <c r="B293" s="8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row>
    <row r="294" customFormat="false" ht="15.75" hidden="false" customHeight="false" outlineLevel="0" collapsed="false">
      <c r="A294" s="16"/>
      <c r="B294" s="8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row>
    <row r="295" customFormat="false" ht="15.75" hidden="false" customHeight="false" outlineLevel="0" collapsed="false">
      <c r="A295" s="16"/>
      <c r="B295" s="8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row>
    <row r="296" customFormat="false" ht="15.75" hidden="false" customHeight="false" outlineLevel="0" collapsed="false">
      <c r="A296" s="16"/>
      <c r="B296" s="8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row>
    <row r="297" customFormat="false" ht="15.75" hidden="false" customHeight="false" outlineLevel="0" collapsed="false">
      <c r="A297" s="16"/>
      <c r="B297" s="8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row>
    <row r="298" customFormat="false" ht="15.75" hidden="false" customHeight="false" outlineLevel="0" collapsed="false">
      <c r="A298" s="16"/>
      <c r="B298" s="8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row>
    <row r="299" customFormat="false" ht="15.75" hidden="false" customHeight="false" outlineLevel="0" collapsed="false">
      <c r="A299" s="16"/>
      <c r="B299" s="8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row>
    <row r="300" customFormat="false" ht="15.75" hidden="false" customHeight="false" outlineLevel="0" collapsed="false">
      <c r="A300" s="16"/>
      <c r="B300" s="8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row>
    <row r="301" customFormat="false" ht="15.75" hidden="false" customHeight="false" outlineLevel="0" collapsed="false">
      <c r="A301" s="16"/>
      <c r="B301" s="8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row>
    <row r="302" customFormat="false" ht="15.75" hidden="false" customHeight="false" outlineLevel="0" collapsed="false">
      <c r="A302" s="16"/>
      <c r="B302" s="8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row>
    <row r="303" customFormat="false" ht="15.75" hidden="false" customHeight="false" outlineLevel="0" collapsed="false">
      <c r="A303" s="16"/>
      <c r="B303" s="8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row>
    <row r="304" customFormat="false" ht="15.75" hidden="false" customHeight="false" outlineLevel="0" collapsed="false">
      <c r="A304" s="16"/>
      <c r="B304" s="8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row>
    <row r="305" customFormat="false" ht="15.75" hidden="false" customHeight="false" outlineLevel="0" collapsed="false">
      <c r="A305" s="16"/>
      <c r="B305" s="8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row>
    <row r="306" customFormat="false" ht="15.75" hidden="false" customHeight="false" outlineLevel="0" collapsed="false">
      <c r="A306" s="16"/>
      <c r="B306" s="8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row>
    <row r="307" customFormat="false" ht="15.75" hidden="false" customHeight="false" outlineLevel="0" collapsed="false">
      <c r="A307" s="16"/>
      <c r="B307" s="8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row>
    <row r="308" customFormat="false" ht="15.75" hidden="false" customHeight="false" outlineLevel="0" collapsed="false">
      <c r="A308" s="16"/>
      <c r="B308" s="8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row>
    <row r="309" customFormat="false" ht="15.75" hidden="false" customHeight="false" outlineLevel="0" collapsed="false">
      <c r="A309" s="16"/>
      <c r="B309" s="8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row>
    <row r="310" customFormat="false" ht="15.75" hidden="false" customHeight="false" outlineLevel="0" collapsed="false">
      <c r="A310" s="16"/>
      <c r="B310" s="8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row>
    <row r="311" customFormat="false" ht="15.75" hidden="false" customHeight="false" outlineLevel="0" collapsed="false">
      <c r="A311" s="16"/>
      <c r="B311" s="8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row>
    <row r="312" customFormat="false" ht="15.75" hidden="false" customHeight="false" outlineLevel="0" collapsed="false">
      <c r="A312" s="16"/>
      <c r="B312" s="8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row>
    <row r="313" customFormat="false" ht="15.75" hidden="false" customHeight="false" outlineLevel="0" collapsed="false">
      <c r="A313" s="16"/>
      <c r="B313" s="8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row>
    <row r="314" customFormat="false" ht="15.75" hidden="false" customHeight="false" outlineLevel="0" collapsed="false">
      <c r="A314" s="16"/>
      <c r="B314" s="8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row>
    <row r="315" customFormat="false" ht="15.75" hidden="false" customHeight="false" outlineLevel="0" collapsed="false">
      <c r="A315" s="16"/>
      <c r="B315" s="8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row>
    <row r="316" customFormat="false" ht="15.75" hidden="false" customHeight="false" outlineLevel="0" collapsed="false">
      <c r="A316" s="16"/>
      <c r="B316" s="8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row>
    <row r="317" customFormat="false" ht="15.75" hidden="false" customHeight="false" outlineLevel="0" collapsed="false">
      <c r="A317" s="16"/>
      <c r="B317" s="8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row>
    <row r="318" customFormat="false" ht="15.75" hidden="false" customHeight="false" outlineLevel="0" collapsed="false">
      <c r="A318" s="16"/>
      <c r="B318" s="8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row>
    <row r="319" customFormat="false" ht="15.75" hidden="false" customHeight="false" outlineLevel="0" collapsed="false">
      <c r="A319" s="16"/>
      <c r="B319" s="8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row>
    <row r="320" customFormat="false" ht="15.75" hidden="false" customHeight="false" outlineLevel="0" collapsed="false">
      <c r="A320" s="16"/>
      <c r="B320" s="8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row>
    <row r="321" customFormat="false" ht="15.75" hidden="false" customHeight="false" outlineLevel="0" collapsed="false">
      <c r="A321" s="16"/>
      <c r="B321" s="8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row>
    <row r="322" customFormat="false" ht="15.75" hidden="false" customHeight="false" outlineLevel="0" collapsed="false">
      <c r="A322" s="16"/>
      <c r="B322" s="8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row>
    <row r="323" customFormat="false" ht="15.75" hidden="false" customHeight="false" outlineLevel="0" collapsed="false">
      <c r="A323" s="16"/>
      <c r="B323" s="8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row>
    <row r="324" customFormat="false" ht="15.75" hidden="false" customHeight="false" outlineLevel="0" collapsed="false">
      <c r="A324" s="16"/>
      <c r="B324" s="8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row>
    <row r="325" customFormat="false" ht="15.75" hidden="false" customHeight="false" outlineLevel="0" collapsed="false">
      <c r="A325" s="16"/>
      <c r="B325" s="8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row>
    <row r="326" customFormat="false" ht="15.75" hidden="false" customHeight="false" outlineLevel="0" collapsed="false">
      <c r="A326" s="16"/>
      <c r="B326" s="8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row>
    <row r="327" customFormat="false" ht="15.75" hidden="false" customHeight="false" outlineLevel="0" collapsed="false">
      <c r="A327" s="16"/>
      <c r="B327" s="8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row>
    <row r="328" customFormat="false" ht="15.75" hidden="false" customHeight="false" outlineLevel="0" collapsed="false">
      <c r="A328" s="16"/>
      <c r="B328" s="8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row>
    <row r="329" customFormat="false" ht="15.75" hidden="false" customHeight="false" outlineLevel="0" collapsed="false">
      <c r="A329" s="16"/>
      <c r="B329" s="8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row>
    <row r="330" customFormat="false" ht="15.75" hidden="false" customHeight="false" outlineLevel="0" collapsed="false">
      <c r="A330" s="16"/>
      <c r="B330" s="8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75" hidden="false" customHeight="false" outlineLevel="0" collapsed="false">
      <c r="A331" s="16"/>
      <c r="B331" s="8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row>
    <row r="332" customFormat="false" ht="15.75" hidden="false" customHeight="false" outlineLevel="0" collapsed="false">
      <c r="A332" s="16"/>
      <c r="B332" s="8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row>
    <row r="333" customFormat="false" ht="15.75" hidden="false" customHeight="false" outlineLevel="0" collapsed="false">
      <c r="A333" s="16"/>
      <c r="B333" s="8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row>
    <row r="334" customFormat="false" ht="15.75" hidden="false" customHeight="false" outlineLevel="0" collapsed="false">
      <c r="A334" s="16"/>
      <c r="B334" s="8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row>
    <row r="335" customFormat="false" ht="15.75" hidden="false" customHeight="false" outlineLevel="0" collapsed="false">
      <c r="A335" s="16"/>
      <c r="B335" s="8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row>
    <row r="336" customFormat="false" ht="15.75" hidden="false" customHeight="false" outlineLevel="0" collapsed="false">
      <c r="A336" s="16"/>
      <c r="B336" s="8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row>
    <row r="337" customFormat="false" ht="15.75" hidden="false" customHeight="false" outlineLevel="0" collapsed="false">
      <c r="A337" s="16"/>
      <c r="B337" s="8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row>
    <row r="338" customFormat="false" ht="15.75" hidden="false" customHeight="false" outlineLevel="0" collapsed="false">
      <c r="A338" s="16"/>
      <c r="B338" s="8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row>
    <row r="339" customFormat="false" ht="15.75" hidden="false" customHeight="false" outlineLevel="0" collapsed="false">
      <c r="A339" s="16"/>
      <c r="B339" s="8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row>
    <row r="340" customFormat="false" ht="15.75" hidden="false" customHeight="false" outlineLevel="0" collapsed="false">
      <c r="A340" s="16"/>
      <c r="B340" s="8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row>
    <row r="341" customFormat="false" ht="15.75" hidden="false" customHeight="false" outlineLevel="0" collapsed="false">
      <c r="A341" s="16"/>
      <c r="B341" s="8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row>
    <row r="342" customFormat="false" ht="15.75" hidden="false" customHeight="false" outlineLevel="0" collapsed="false">
      <c r="A342" s="16"/>
      <c r="B342" s="8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row>
    <row r="343" customFormat="false" ht="15.75" hidden="false" customHeight="false" outlineLevel="0" collapsed="false">
      <c r="A343" s="16"/>
      <c r="B343" s="8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row>
    <row r="344" customFormat="false" ht="15.75" hidden="false" customHeight="false" outlineLevel="0" collapsed="false">
      <c r="A344" s="16"/>
      <c r="B344" s="8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row>
    <row r="345" customFormat="false" ht="15.75" hidden="false" customHeight="false" outlineLevel="0" collapsed="false">
      <c r="A345" s="16"/>
      <c r="B345" s="8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row>
    <row r="346" customFormat="false" ht="15.75" hidden="false" customHeight="false" outlineLevel="0" collapsed="false">
      <c r="A346" s="16"/>
      <c r="B346" s="8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row>
    <row r="347" customFormat="false" ht="15.75" hidden="false" customHeight="false" outlineLevel="0" collapsed="false">
      <c r="A347" s="16"/>
      <c r="B347" s="8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row>
    <row r="348" customFormat="false" ht="15.75" hidden="false" customHeight="false" outlineLevel="0" collapsed="false">
      <c r="A348" s="16"/>
      <c r="B348" s="8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row>
    <row r="349" customFormat="false" ht="15.75" hidden="false" customHeight="false" outlineLevel="0" collapsed="false">
      <c r="A349" s="16"/>
      <c r="B349" s="8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row>
    <row r="350" customFormat="false" ht="15.75" hidden="false" customHeight="false" outlineLevel="0" collapsed="false">
      <c r="A350" s="16"/>
      <c r="B350" s="8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row>
    <row r="351" customFormat="false" ht="15.75" hidden="false" customHeight="false" outlineLevel="0" collapsed="false">
      <c r="A351" s="16"/>
      <c r="B351" s="8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row>
    <row r="352" customFormat="false" ht="15.75" hidden="false" customHeight="false" outlineLevel="0" collapsed="false">
      <c r="A352" s="16"/>
      <c r="B352" s="8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row>
    <row r="353" customFormat="false" ht="15.75" hidden="false" customHeight="false" outlineLevel="0" collapsed="false">
      <c r="A353" s="16"/>
      <c r="B353" s="8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row>
    <row r="354" customFormat="false" ht="15.75" hidden="false" customHeight="false" outlineLevel="0" collapsed="false">
      <c r="A354" s="16"/>
      <c r="B354" s="8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row>
    <row r="355" customFormat="false" ht="15.75" hidden="false" customHeight="false" outlineLevel="0" collapsed="false">
      <c r="A355" s="16"/>
      <c r="B355" s="8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row>
    <row r="356" customFormat="false" ht="15.75" hidden="false" customHeight="false" outlineLevel="0" collapsed="false">
      <c r="A356" s="16"/>
      <c r="B356" s="8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row>
    <row r="357" customFormat="false" ht="15.75" hidden="false" customHeight="false" outlineLevel="0" collapsed="false">
      <c r="A357" s="16"/>
      <c r="B357" s="8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row>
    <row r="358" customFormat="false" ht="15.75" hidden="false" customHeight="false" outlineLevel="0" collapsed="false">
      <c r="A358" s="16"/>
      <c r="B358" s="8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row>
    <row r="359" customFormat="false" ht="15.75" hidden="false" customHeight="false" outlineLevel="0" collapsed="false">
      <c r="A359" s="16"/>
      <c r="B359" s="8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row>
    <row r="360" customFormat="false" ht="15.75" hidden="false" customHeight="false" outlineLevel="0" collapsed="false">
      <c r="A360" s="16"/>
      <c r="B360" s="8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row>
    <row r="361" customFormat="false" ht="15.75" hidden="false" customHeight="false" outlineLevel="0" collapsed="false">
      <c r="A361" s="16"/>
      <c r="B361" s="8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row>
    <row r="362" customFormat="false" ht="15.75" hidden="false" customHeight="false" outlineLevel="0" collapsed="false">
      <c r="A362" s="16"/>
      <c r="B362" s="8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row>
    <row r="363" customFormat="false" ht="15.75" hidden="false" customHeight="false" outlineLevel="0" collapsed="false">
      <c r="A363" s="16"/>
      <c r="B363" s="8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row>
    <row r="364" customFormat="false" ht="15.75" hidden="false" customHeight="false" outlineLevel="0" collapsed="false">
      <c r="A364" s="16"/>
      <c r="B364" s="8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row>
    <row r="365" customFormat="false" ht="15.75" hidden="false" customHeight="false" outlineLevel="0" collapsed="false">
      <c r="A365" s="16"/>
      <c r="B365" s="8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row>
    <row r="366" customFormat="false" ht="15.75" hidden="false" customHeight="false" outlineLevel="0" collapsed="false">
      <c r="A366" s="16"/>
      <c r="B366" s="8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row>
    <row r="367" customFormat="false" ht="15.75" hidden="false" customHeight="false" outlineLevel="0" collapsed="false">
      <c r="A367" s="16"/>
      <c r="B367" s="8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row>
    <row r="368" customFormat="false" ht="15.75" hidden="false" customHeight="false" outlineLevel="0" collapsed="false">
      <c r="A368" s="16"/>
      <c r="B368" s="8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row>
    <row r="369" customFormat="false" ht="15.75" hidden="false" customHeight="false" outlineLevel="0" collapsed="false">
      <c r="A369" s="16"/>
      <c r="B369" s="8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row>
    <row r="370" customFormat="false" ht="15.75" hidden="false" customHeight="false" outlineLevel="0" collapsed="false">
      <c r="A370" s="16"/>
      <c r="B370" s="8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row>
    <row r="371" customFormat="false" ht="15.75" hidden="false" customHeight="false" outlineLevel="0" collapsed="false">
      <c r="A371" s="16"/>
      <c r="B371" s="8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row>
    <row r="372" customFormat="false" ht="15.75" hidden="false" customHeight="false" outlineLevel="0" collapsed="false">
      <c r="A372" s="16"/>
      <c r="B372" s="8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row>
    <row r="373" customFormat="false" ht="15.75" hidden="false" customHeight="false" outlineLevel="0" collapsed="false">
      <c r="A373" s="16"/>
      <c r="B373" s="8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row>
    <row r="374" customFormat="false" ht="15.75" hidden="false" customHeight="false" outlineLevel="0" collapsed="false">
      <c r="A374" s="16"/>
      <c r="B374" s="8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row>
    <row r="375" customFormat="false" ht="15.75" hidden="false" customHeight="false" outlineLevel="0" collapsed="false">
      <c r="A375" s="16"/>
      <c r="B375" s="8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row>
    <row r="376" customFormat="false" ht="15.75" hidden="false" customHeight="false" outlineLevel="0" collapsed="false">
      <c r="A376" s="16"/>
      <c r="B376" s="8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row>
    <row r="377" customFormat="false" ht="15.75" hidden="false" customHeight="false" outlineLevel="0" collapsed="false">
      <c r="A377" s="16"/>
      <c r="B377" s="8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row>
    <row r="378" customFormat="false" ht="15.75" hidden="false" customHeight="false" outlineLevel="0" collapsed="false">
      <c r="A378" s="16"/>
      <c r="B378" s="8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row>
    <row r="379" customFormat="false" ht="15.75" hidden="false" customHeight="false" outlineLevel="0" collapsed="false">
      <c r="A379" s="16"/>
      <c r="B379" s="8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row>
    <row r="380" customFormat="false" ht="15.75" hidden="false" customHeight="false" outlineLevel="0" collapsed="false">
      <c r="A380" s="16"/>
      <c r="B380" s="8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row>
    <row r="381" customFormat="false" ht="15.75" hidden="false" customHeight="false" outlineLevel="0" collapsed="false">
      <c r="A381" s="16"/>
      <c r="B381" s="8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row>
    <row r="382" customFormat="false" ht="15.75" hidden="false" customHeight="false" outlineLevel="0" collapsed="false">
      <c r="A382" s="16"/>
      <c r="B382" s="8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row>
    <row r="383" customFormat="false" ht="15.75" hidden="false" customHeight="false" outlineLevel="0" collapsed="false">
      <c r="A383" s="16"/>
      <c r="B383" s="8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row>
    <row r="384" customFormat="false" ht="15.75" hidden="false" customHeight="false" outlineLevel="0" collapsed="false">
      <c r="A384" s="16"/>
      <c r="B384" s="8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row>
    <row r="385" customFormat="false" ht="15.75" hidden="false" customHeight="false" outlineLevel="0" collapsed="false">
      <c r="A385" s="16"/>
      <c r="B385" s="8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row>
    <row r="386" customFormat="false" ht="15.75" hidden="false" customHeight="false" outlineLevel="0" collapsed="false">
      <c r="A386" s="16"/>
      <c r="B386" s="8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row>
    <row r="387" customFormat="false" ht="15.75" hidden="false" customHeight="false" outlineLevel="0" collapsed="false">
      <c r="A387" s="16"/>
      <c r="B387" s="8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row>
    <row r="388" customFormat="false" ht="15.75" hidden="false" customHeight="false" outlineLevel="0" collapsed="false">
      <c r="A388" s="16"/>
      <c r="B388" s="8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row>
    <row r="389" customFormat="false" ht="15.75" hidden="false" customHeight="false" outlineLevel="0" collapsed="false">
      <c r="A389" s="16"/>
      <c r="B389" s="8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row>
    <row r="390" customFormat="false" ht="15.75" hidden="false" customHeight="false" outlineLevel="0" collapsed="false">
      <c r="A390" s="16"/>
      <c r="B390" s="8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row>
    <row r="391" customFormat="false" ht="15.75" hidden="false" customHeight="false" outlineLevel="0" collapsed="false">
      <c r="A391" s="16"/>
      <c r="B391" s="8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row>
    <row r="392" customFormat="false" ht="15.75" hidden="false" customHeight="false" outlineLevel="0" collapsed="false">
      <c r="A392" s="16"/>
      <c r="B392" s="8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row>
    <row r="393" customFormat="false" ht="15.75" hidden="false" customHeight="false" outlineLevel="0" collapsed="false">
      <c r="A393" s="16"/>
      <c r="B393" s="8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row>
    <row r="394" customFormat="false" ht="15.75" hidden="false" customHeight="false" outlineLevel="0" collapsed="false">
      <c r="A394" s="16"/>
      <c r="B394" s="8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row>
    <row r="395" customFormat="false" ht="15.75" hidden="false" customHeight="false" outlineLevel="0" collapsed="false">
      <c r="A395" s="16"/>
      <c r="B395" s="8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row>
    <row r="396" customFormat="false" ht="15.75" hidden="false" customHeight="false" outlineLevel="0" collapsed="false">
      <c r="A396" s="16"/>
      <c r="B396" s="8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row>
    <row r="397" customFormat="false" ht="15.75" hidden="false" customHeight="false" outlineLevel="0" collapsed="false">
      <c r="A397" s="16"/>
      <c r="B397" s="8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row>
    <row r="398" customFormat="false" ht="15.75" hidden="false" customHeight="false" outlineLevel="0" collapsed="false">
      <c r="A398" s="16"/>
      <c r="B398" s="8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row>
    <row r="399" customFormat="false" ht="15.75" hidden="false" customHeight="false" outlineLevel="0" collapsed="false">
      <c r="A399" s="16"/>
      <c r="B399" s="8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row>
    <row r="400" customFormat="false" ht="15.75" hidden="false" customHeight="false" outlineLevel="0" collapsed="false">
      <c r="A400" s="16"/>
      <c r="B400" s="8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row>
    <row r="401" customFormat="false" ht="15.75" hidden="false" customHeight="false" outlineLevel="0" collapsed="false">
      <c r="A401" s="16"/>
      <c r="B401" s="8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row>
    <row r="402" customFormat="false" ht="15.75" hidden="false" customHeight="false" outlineLevel="0" collapsed="false">
      <c r="A402" s="16"/>
      <c r="B402" s="8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row>
    <row r="403" customFormat="false" ht="15.75" hidden="false" customHeight="false" outlineLevel="0" collapsed="false">
      <c r="A403" s="16"/>
      <c r="B403" s="8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row>
    <row r="404" customFormat="false" ht="15.75" hidden="false" customHeight="false" outlineLevel="0" collapsed="false">
      <c r="A404" s="16"/>
      <c r="B404" s="8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row>
    <row r="405" customFormat="false" ht="15.75" hidden="false" customHeight="false" outlineLevel="0" collapsed="false">
      <c r="A405" s="16"/>
      <c r="B405" s="8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row>
    <row r="406" customFormat="false" ht="15.75" hidden="false" customHeight="false" outlineLevel="0" collapsed="false">
      <c r="A406" s="16"/>
      <c r="B406" s="8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row>
    <row r="407" customFormat="false" ht="15.75" hidden="false" customHeight="false" outlineLevel="0" collapsed="false">
      <c r="A407" s="16"/>
      <c r="B407" s="8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row>
    <row r="408" customFormat="false" ht="15.75" hidden="false" customHeight="false" outlineLevel="0" collapsed="false">
      <c r="A408" s="16"/>
      <c r="B408" s="8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row>
    <row r="409" customFormat="false" ht="15.75" hidden="false" customHeight="false" outlineLevel="0" collapsed="false">
      <c r="A409" s="16"/>
      <c r="B409" s="8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row>
    <row r="410" customFormat="false" ht="15.75" hidden="false" customHeight="false" outlineLevel="0" collapsed="false">
      <c r="A410" s="16"/>
      <c r="B410" s="8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row>
    <row r="411" customFormat="false" ht="15.75" hidden="false" customHeight="false" outlineLevel="0" collapsed="false">
      <c r="A411" s="16"/>
      <c r="B411" s="8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row>
    <row r="412" customFormat="false" ht="15.75" hidden="false" customHeight="false" outlineLevel="0" collapsed="false">
      <c r="A412" s="16"/>
      <c r="B412" s="8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row>
    <row r="413" customFormat="false" ht="15.75" hidden="false" customHeight="false" outlineLevel="0" collapsed="false">
      <c r="A413" s="16"/>
      <c r="B413" s="8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row>
    <row r="414" customFormat="false" ht="15.75" hidden="false" customHeight="false" outlineLevel="0" collapsed="false">
      <c r="A414" s="16"/>
      <c r="B414" s="8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row>
    <row r="415" customFormat="false" ht="15.75" hidden="false" customHeight="false" outlineLevel="0" collapsed="false">
      <c r="A415" s="16"/>
      <c r="B415" s="8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row>
    <row r="416" customFormat="false" ht="15.75" hidden="false" customHeight="false" outlineLevel="0" collapsed="false">
      <c r="A416" s="16"/>
      <c r="B416" s="8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row>
    <row r="417" customFormat="false" ht="15.75" hidden="false" customHeight="false" outlineLevel="0" collapsed="false">
      <c r="A417" s="16"/>
      <c r="B417" s="8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row>
    <row r="418" customFormat="false" ht="15.75" hidden="false" customHeight="false" outlineLevel="0" collapsed="false">
      <c r="A418" s="16"/>
      <c r="B418" s="8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row>
    <row r="419" customFormat="false" ht="15.75" hidden="false" customHeight="false" outlineLevel="0" collapsed="false">
      <c r="A419" s="16"/>
      <c r="B419" s="8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row>
    <row r="420" customFormat="false" ht="15.75" hidden="false" customHeight="false" outlineLevel="0" collapsed="false">
      <c r="A420" s="16"/>
      <c r="B420" s="8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row>
    <row r="421" customFormat="false" ht="15.75" hidden="false" customHeight="false" outlineLevel="0" collapsed="false">
      <c r="A421" s="16"/>
      <c r="B421" s="8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row>
    <row r="422" customFormat="false" ht="15.75" hidden="false" customHeight="false" outlineLevel="0" collapsed="false">
      <c r="A422" s="16"/>
      <c r="B422" s="8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row>
    <row r="423" customFormat="false" ht="15.75" hidden="false" customHeight="false" outlineLevel="0" collapsed="false">
      <c r="A423" s="16"/>
      <c r="B423" s="8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row>
    <row r="424" customFormat="false" ht="15.75" hidden="false" customHeight="false" outlineLevel="0" collapsed="false">
      <c r="A424" s="16"/>
      <c r="B424" s="8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row>
    <row r="425" customFormat="false" ht="15.75" hidden="false" customHeight="false" outlineLevel="0" collapsed="false">
      <c r="A425" s="16"/>
      <c r="B425" s="8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row>
    <row r="426" customFormat="false" ht="15.75" hidden="false" customHeight="false" outlineLevel="0" collapsed="false">
      <c r="A426" s="16"/>
      <c r="B426" s="8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row>
    <row r="427" customFormat="false" ht="15.75" hidden="false" customHeight="false" outlineLevel="0" collapsed="false">
      <c r="A427" s="16"/>
      <c r="B427" s="8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row>
    <row r="428" customFormat="false" ht="15.75" hidden="false" customHeight="false" outlineLevel="0" collapsed="false">
      <c r="A428" s="16"/>
      <c r="B428" s="8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row>
    <row r="429" customFormat="false" ht="15.75" hidden="false" customHeight="false" outlineLevel="0" collapsed="false">
      <c r="A429" s="16"/>
      <c r="B429" s="8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row>
    <row r="430" customFormat="false" ht="15.75" hidden="false" customHeight="false" outlineLevel="0" collapsed="false">
      <c r="A430" s="16"/>
      <c r="B430" s="8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row>
    <row r="431" customFormat="false" ht="15.75" hidden="false" customHeight="false" outlineLevel="0" collapsed="false">
      <c r="A431" s="16"/>
      <c r="B431" s="8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row>
    <row r="432" customFormat="false" ht="15.75" hidden="false" customHeight="false" outlineLevel="0" collapsed="false">
      <c r="A432" s="16"/>
      <c r="B432" s="8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row>
    <row r="433" customFormat="false" ht="15.75" hidden="false" customHeight="false" outlineLevel="0" collapsed="false">
      <c r="A433" s="16"/>
      <c r="B433" s="8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row>
    <row r="434" customFormat="false" ht="15.75" hidden="false" customHeight="false" outlineLevel="0" collapsed="false">
      <c r="A434" s="16"/>
      <c r="B434" s="8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row>
    <row r="435" customFormat="false" ht="15.75" hidden="false" customHeight="false" outlineLevel="0" collapsed="false">
      <c r="A435" s="16"/>
      <c r="B435" s="8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row>
    <row r="436" customFormat="false" ht="15.75" hidden="false" customHeight="false" outlineLevel="0" collapsed="false">
      <c r="A436" s="16"/>
      <c r="B436" s="8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row>
    <row r="437" customFormat="false" ht="15.75" hidden="false" customHeight="false" outlineLevel="0" collapsed="false">
      <c r="A437" s="16"/>
      <c r="B437" s="8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row>
    <row r="438" customFormat="false" ht="15.75" hidden="false" customHeight="false" outlineLevel="0" collapsed="false">
      <c r="A438" s="16"/>
      <c r="B438" s="8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row>
    <row r="439" customFormat="false" ht="15.75" hidden="false" customHeight="false" outlineLevel="0" collapsed="false">
      <c r="A439" s="16"/>
      <c r="B439" s="8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row>
    <row r="440" customFormat="false" ht="15.75" hidden="false" customHeight="false" outlineLevel="0" collapsed="false">
      <c r="A440" s="16"/>
      <c r="B440" s="8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row>
    <row r="441" customFormat="false" ht="15.75" hidden="false" customHeight="false" outlineLevel="0" collapsed="false">
      <c r="A441" s="16"/>
      <c r="B441" s="8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row>
    <row r="442" customFormat="false" ht="15.75" hidden="false" customHeight="false" outlineLevel="0" collapsed="false">
      <c r="A442" s="16"/>
      <c r="B442" s="8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row>
    <row r="443" customFormat="false" ht="15.75" hidden="false" customHeight="false" outlineLevel="0" collapsed="false">
      <c r="A443" s="16"/>
      <c r="B443" s="8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row>
    <row r="444" customFormat="false" ht="15.75" hidden="false" customHeight="false" outlineLevel="0" collapsed="false">
      <c r="A444" s="16"/>
      <c r="B444" s="8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row>
    <row r="445" customFormat="false" ht="15.75" hidden="false" customHeight="false" outlineLevel="0" collapsed="false">
      <c r="A445" s="16"/>
      <c r="B445" s="8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row>
    <row r="446" customFormat="false" ht="15.75" hidden="false" customHeight="false" outlineLevel="0" collapsed="false">
      <c r="A446" s="16"/>
      <c r="B446" s="8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row>
    <row r="447" customFormat="false" ht="15.75" hidden="false" customHeight="false" outlineLevel="0" collapsed="false">
      <c r="A447" s="16"/>
      <c r="B447" s="8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row>
    <row r="448" customFormat="false" ht="15.75" hidden="false" customHeight="false" outlineLevel="0" collapsed="false">
      <c r="A448" s="16"/>
      <c r="B448" s="8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row>
    <row r="449" customFormat="false" ht="15.75" hidden="false" customHeight="false" outlineLevel="0" collapsed="false">
      <c r="A449" s="16"/>
      <c r="B449" s="8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row>
    <row r="450" customFormat="false" ht="15.75" hidden="false" customHeight="false" outlineLevel="0" collapsed="false">
      <c r="A450" s="16"/>
      <c r="B450" s="8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row>
    <row r="451" customFormat="false" ht="15.75" hidden="false" customHeight="false" outlineLevel="0" collapsed="false">
      <c r="A451" s="16"/>
      <c r="B451" s="8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row>
    <row r="452" customFormat="false" ht="15.75" hidden="false" customHeight="false" outlineLevel="0" collapsed="false">
      <c r="A452" s="16"/>
      <c r="B452" s="8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row>
    <row r="453" customFormat="false" ht="15.75" hidden="false" customHeight="false" outlineLevel="0" collapsed="false">
      <c r="A453" s="16"/>
      <c r="B453" s="8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row>
    <row r="454" customFormat="false" ht="15.75" hidden="false" customHeight="false" outlineLevel="0" collapsed="false">
      <c r="A454" s="16"/>
      <c r="B454" s="8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row>
    <row r="455" customFormat="false" ht="15.75" hidden="false" customHeight="false" outlineLevel="0" collapsed="false">
      <c r="A455" s="16"/>
      <c r="B455" s="8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row>
    <row r="456" customFormat="false" ht="15.75" hidden="false" customHeight="false" outlineLevel="0" collapsed="false">
      <c r="A456" s="16"/>
      <c r="B456" s="8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row>
    <row r="457" customFormat="false" ht="15.75" hidden="false" customHeight="false" outlineLevel="0" collapsed="false">
      <c r="A457" s="16"/>
      <c r="B457" s="8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row>
    <row r="458" customFormat="false" ht="15.75" hidden="false" customHeight="false" outlineLevel="0" collapsed="false">
      <c r="A458" s="16"/>
      <c r="B458" s="8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row>
    <row r="459" customFormat="false" ht="15.75" hidden="false" customHeight="false" outlineLevel="0" collapsed="false">
      <c r="A459" s="16"/>
      <c r="B459" s="8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row>
    <row r="460" customFormat="false" ht="15.75" hidden="false" customHeight="false" outlineLevel="0" collapsed="false">
      <c r="A460" s="16"/>
      <c r="B460" s="8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row>
    <row r="461" customFormat="false" ht="15.75" hidden="false" customHeight="false" outlineLevel="0" collapsed="false">
      <c r="A461" s="16"/>
      <c r="B461" s="8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row>
    <row r="462" customFormat="false" ht="15.75" hidden="false" customHeight="false" outlineLevel="0" collapsed="false">
      <c r="A462" s="16"/>
      <c r="B462" s="8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row>
    <row r="463" customFormat="false" ht="15.75" hidden="false" customHeight="false" outlineLevel="0" collapsed="false">
      <c r="A463" s="16"/>
      <c r="B463" s="8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row>
    <row r="464" customFormat="false" ht="15.75" hidden="false" customHeight="false" outlineLevel="0" collapsed="false">
      <c r="A464" s="16"/>
      <c r="B464" s="8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row>
    <row r="465" customFormat="false" ht="15.75" hidden="false" customHeight="false" outlineLevel="0" collapsed="false">
      <c r="A465" s="16"/>
      <c r="B465" s="8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row>
    <row r="466" customFormat="false" ht="15.75" hidden="false" customHeight="false" outlineLevel="0" collapsed="false">
      <c r="A466" s="16"/>
      <c r="B466" s="8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row>
    <row r="467" customFormat="false" ht="15.75" hidden="false" customHeight="false" outlineLevel="0" collapsed="false">
      <c r="A467" s="16"/>
      <c r="B467" s="8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row>
    <row r="468" customFormat="false" ht="15.75" hidden="false" customHeight="false" outlineLevel="0" collapsed="false">
      <c r="A468" s="16"/>
      <c r="B468" s="8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row>
    <row r="469" customFormat="false" ht="15.75" hidden="false" customHeight="false" outlineLevel="0" collapsed="false">
      <c r="A469" s="16"/>
      <c r="B469" s="8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row>
    <row r="470" customFormat="false" ht="15.75" hidden="false" customHeight="false" outlineLevel="0" collapsed="false">
      <c r="A470" s="16"/>
      <c r="B470" s="8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row>
    <row r="471" customFormat="false" ht="15.75" hidden="false" customHeight="false" outlineLevel="0" collapsed="false">
      <c r="A471" s="16"/>
      <c r="B471" s="8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row>
    <row r="472" customFormat="false" ht="15.75" hidden="false" customHeight="false" outlineLevel="0" collapsed="false">
      <c r="A472" s="16"/>
      <c r="B472" s="8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row>
    <row r="473" customFormat="false" ht="15.75" hidden="false" customHeight="false" outlineLevel="0" collapsed="false">
      <c r="A473" s="16"/>
      <c r="B473" s="8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row>
    <row r="474" customFormat="false" ht="15.75" hidden="false" customHeight="false" outlineLevel="0" collapsed="false">
      <c r="A474" s="16"/>
      <c r="B474" s="8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row>
    <row r="475" customFormat="false" ht="15.75" hidden="false" customHeight="false" outlineLevel="0" collapsed="false">
      <c r="A475" s="16"/>
      <c r="B475" s="8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row>
    <row r="476" customFormat="false" ht="15.75" hidden="false" customHeight="false" outlineLevel="0" collapsed="false">
      <c r="A476" s="16"/>
      <c r="B476" s="8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row>
    <row r="477" customFormat="false" ht="15.75" hidden="false" customHeight="false" outlineLevel="0" collapsed="false">
      <c r="A477" s="16"/>
      <c r="B477" s="8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row>
    <row r="478" customFormat="false" ht="15.75" hidden="false" customHeight="false" outlineLevel="0" collapsed="false">
      <c r="A478" s="16"/>
      <c r="B478" s="8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row>
    <row r="479" customFormat="false" ht="15.75" hidden="false" customHeight="false" outlineLevel="0" collapsed="false">
      <c r="A479" s="16"/>
      <c r="B479" s="8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row>
    <row r="480" customFormat="false" ht="15.75" hidden="false" customHeight="false" outlineLevel="0" collapsed="false">
      <c r="A480" s="16"/>
      <c r="B480" s="8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row>
    <row r="481" customFormat="false" ht="15.75" hidden="false" customHeight="false" outlineLevel="0" collapsed="false">
      <c r="A481" s="16"/>
      <c r="B481" s="8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row>
    <row r="482" customFormat="false" ht="15.75" hidden="false" customHeight="false" outlineLevel="0" collapsed="false">
      <c r="A482" s="16"/>
      <c r="B482" s="8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row>
    <row r="483" customFormat="false" ht="15.75" hidden="false" customHeight="false" outlineLevel="0" collapsed="false">
      <c r="A483" s="16"/>
      <c r="B483" s="8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row>
    <row r="484" customFormat="false" ht="15.75" hidden="false" customHeight="false" outlineLevel="0" collapsed="false">
      <c r="A484" s="16"/>
      <c r="B484" s="8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row>
    <row r="485" customFormat="false" ht="15.75" hidden="false" customHeight="false" outlineLevel="0" collapsed="false">
      <c r="A485" s="16"/>
      <c r="B485" s="8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row>
    <row r="486" customFormat="false" ht="15.75" hidden="false" customHeight="false" outlineLevel="0" collapsed="false">
      <c r="A486" s="16"/>
      <c r="B486" s="8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row>
    <row r="487" customFormat="false" ht="15.75" hidden="false" customHeight="false" outlineLevel="0" collapsed="false">
      <c r="A487" s="16"/>
      <c r="B487" s="8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row>
    <row r="488" customFormat="false" ht="15.75" hidden="false" customHeight="false" outlineLevel="0" collapsed="false">
      <c r="A488" s="16"/>
      <c r="B488" s="8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row>
    <row r="489" customFormat="false" ht="15.75" hidden="false" customHeight="false" outlineLevel="0" collapsed="false">
      <c r="A489" s="16"/>
      <c r="B489" s="8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row>
    <row r="490" customFormat="false" ht="15.75" hidden="false" customHeight="false" outlineLevel="0" collapsed="false">
      <c r="A490" s="16"/>
      <c r="B490" s="8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row>
    <row r="491" customFormat="false" ht="15.75" hidden="false" customHeight="false" outlineLevel="0" collapsed="false">
      <c r="A491" s="16"/>
      <c r="B491" s="8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row>
    <row r="492" customFormat="false" ht="15.75" hidden="false" customHeight="false" outlineLevel="0" collapsed="false">
      <c r="A492" s="16"/>
      <c r="B492" s="8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row>
    <row r="493" customFormat="false" ht="15.75" hidden="false" customHeight="false" outlineLevel="0" collapsed="false">
      <c r="A493" s="16"/>
      <c r="B493" s="8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row>
    <row r="494" customFormat="false" ht="15.75" hidden="false" customHeight="false" outlineLevel="0" collapsed="false">
      <c r="A494" s="16"/>
      <c r="B494" s="8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row>
    <row r="495" customFormat="false" ht="15.75" hidden="false" customHeight="false" outlineLevel="0" collapsed="false">
      <c r="A495" s="16"/>
      <c r="B495" s="8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row>
    <row r="496" customFormat="false" ht="15.75" hidden="false" customHeight="false" outlineLevel="0" collapsed="false">
      <c r="A496" s="16"/>
      <c r="B496" s="8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row>
    <row r="497" customFormat="false" ht="15.75" hidden="false" customHeight="false" outlineLevel="0" collapsed="false">
      <c r="A497" s="16"/>
      <c r="B497" s="8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row>
    <row r="498" customFormat="false" ht="15.75" hidden="false" customHeight="false" outlineLevel="0" collapsed="false">
      <c r="A498" s="16"/>
      <c r="B498" s="8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row>
    <row r="499" customFormat="false" ht="15.75" hidden="false" customHeight="false" outlineLevel="0" collapsed="false">
      <c r="A499" s="16"/>
      <c r="B499" s="8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row>
    <row r="500" customFormat="false" ht="15.75" hidden="false" customHeight="false" outlineLevel="0" collapsed="false">
      <c r="A500" s="16"/>
      <c r="B500" s="8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row>
    <row r="501" customFormat="false" ht="15.75" hidden="false" customHeight="false" outlineLevel="0" collapsed="false">
      <c r="A501" s="16"/>
      <c r="B501" s="8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row>
    <row r="502" customFormat="false" ht="15.75" hidden="false" customHeight="false" outlineLevel="0" collapsed="false">
      <c r="A502" s="16"/>
      <c r="B502" s="8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row>
    <row r="503" customFormat="false" ht="15.75" hidden="false" customHeight="false" outlineLevel="0" collapsed="false">
      <c r="A503" s="16"/>
      <c r="B503" s="8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row>
    <row r="504" customFormat="false" ht="15.75" hidden="false" customHeight="false" outlineLevel="0" collapsed="false">
      <c r="A504" s="16"/>
      <c r="B504" s="8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row>
    <row r="505" customFormat="false" ht="15.75" hidden="false" customHeight="false" outlineLevel="0" collapsed="false">
      <c r="A505" s="16"/>
      <c r="B505" s="8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row>
    <row r="506" customFormat="false" ht="15.75" hidden="false" customHeight="false" outlineLevel="0" collapsed="false">
      <c r="A506" s="16"/>
      <c r="B506" s="8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row>
    <row r="507" customFormat="false" ht="15.75" hidden="false" customHeight="false" outlineLevel="0" collapsed="false">
      <c r="A507" s="16"/>
      <c r="B507" s="8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row>
    <row r="508" customFormat="false" ht="15.75" hidden="false" customHeight="false" outlineLevel="0" collapsed="false">
      <c r="A508" s="16"/>
      <c r="B508" s="8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row>
    <row r="509" customFormat="false" ht="15.75" hidden="false" customHeight="false" outlineLevel="0" collapsed="false">
      <c r="A509" s="16"/>
      <c r="B509" s="8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row>
    <row r="510" customFormat="false" ht="15.75" hidden="false" customHeight="false" outlineLevel="0" collapsed="false">
      <c r="A510" s="16"/>
      <c r="B510" s="8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row>
    <row r="511" customFormat="false" ht="15.75" hidden="false" customHeight="false" outlineLevel="0" collapsed="false">
      <c r="A511" s="16"/>
      <c r="B511" s="8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row>
    <row r="512" customFormat="false" ht="15.75" hidden="false" customHeight="false" outlineLevel="0" collapsed="false">
      <c r="A512" s="16"/>
      <c r="B512" s="8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row>
    <row r="513" customFormat="false" ht="15.75" hidden="false" customHeight="false" outlineLevel="0" collapsed="false">
      <c r="A513" s="16"/>
      <c r="B513" s="8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row>
    <row r="514" customFormat="false" ht="15.75" hidden="false" customHeight="false" outlineLevel="0" collapsed="false">
      <c r="A514" s="16"/>
      <c r="B514" s="8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row>
    <row r="515" customFormat="false" ht="15.75" hidden="false" customHeight="false" outlineLevel="0" collapsed="false">
      <c r="A515" s="16"/>
      <c r="B515" s="8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row>
    <row r="516" customFormat="false" ht="15.75" hidden="false" customHeight="false" outlineLevel="0" collapsed="false">
      <c r="A516" s="16"/>
      <c r="B516" s="8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row>
    <row r="517" customFormat="false" ht="15.75" hidden="false" customHeight="false" outlineLevel="0" collapsed="false">
      <c r="A517" s="16"/>
      <c r="B517" s="8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row>
    <row r="518" customFormat="false" ht="15.75" hidden="false" customHeight="false" outlineLevel="0" collapsed="false">
      <c r="A518" s="16"/>
      <c r="B518" s="8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row>
    <row r="519" customFormat="false" ht="15.75" hidden="false" customHeight="false" outlineLevel="0" collapsed="false">
      <c r="A519" s="16"/>
      <c r="B519" s="8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row>
    <row r="520" customFormat="false" ht="15.75" hidden="false" customHeight="false" outlineLevel="0" collapsed="false">
      <c r="A520" s="16"/>
      <c r="B520" s="8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row>
    <row r="521" customFormat="false" ht="15.75" hidden="false" customHeight="false" outlineLevel="0" collapsed="false">
      <c r="A521" s="16"/>
      <c r="B521" s="8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row>
    <row r="522" customFormat="false" ht="15.75" hidden="false" customHeight="false" outlineLevel="0" collapsed="false">
      <c r="A522" s="16"/>
      <c r="B522" s="8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row>
    <row r="523" customFormat="false" ht="15.75" hidden="false" customHeight="false" outlineLevel="0" collapsed="false">
      <c r="A523" s="16"/>
      <c r="B523" s="8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row>
    <row r="524" customFormat="false" ht="15.75" hidden="false" customHeight="false" outlineLevel="0" collapsed="false">
      <c r="A524" s="16"/>
      <c r="B524" s="8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row>
    <row r="525" customFormat="false" ht="15.75" hidden="false" customHeight="false" outlineLevel="0" collapsed="false">
      <c r="A525" s="16"/>
      <c r="B525" s="8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row>
    <row r="526" customFormat="false" ht="15.75" hidden="false" customHeight="false" outlineLevel="0" collapsed="false">
      <c r="A526" s="16"/>
      <c r="B526" s="8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row>
    <row r="527" customFormat="false" ht="15.75" hidden="false" customHeight="false" outlineLevel="0" collapsed="false">
      <c r="A527" s="16"/>
      <c r="B527" s="8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row>
    <row r="528" customFormat="false" ht="15.75" hidden="false" customHeight="false" outlineLevel="0" collapsed="false">
      <c r="A528" s="16"/>
      <c r="B528" s="8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row>
    <row r="529" customFormat="false" ht="15.75" hidden="false" customHeight="false" outlineLevel="0" collapsed="false">
      <c r="A529" s="16"/>
      <c r="B529" s="8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row>
    <row r="530" customFormat="false" ht="15.75" hidden="false" customHeight="false" outlineLevel="0" collapsed="false">
      <c r="A530" s="16"/>
      <c r="B530" s="8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row>
    <row r="531" customFormat="false" ht="15.75" hidden="false" customHeight="false" outlineLevel="0" collapsed="false">
      <c r="A531" s="16"/>
      <c r="B531" s="8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row>
    <row r="532" customFormat="false" ht="15.75" hidden="false" customHeight="false" outlineLevel="0" collapsed="false">
      <c r="A532" s="16"/>
      <c r="B532" s="8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row>
    <row r="533" customFormat="false" ht="15.75" hidden="false" customHeight="false" outlineLevel="0" collapsed="false">
      <c r="A533" s="16"/>
      <c r="B533" s="8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row>
    <row r="534" customFormat="false" ht="15.75" hidden="false" customHeight="false" outlineLevel="0" collapsed="false">
      <c r="A534" s="16"/>
      <c r="B534" s="8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row>
    <row r="535" customFormat="false" ht="15.75" hidden="false" customHeight="false" outlineLevel="0" collapsed="false">
      <c r="A535" s="16"/>
      <c r="B535" s="8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row>
    <row r="536" customFormat="false" ht="15.75" hidden="false" customHeight="false" outlineLevel="0" collapsed="false">
      <c r="A536" s="16"/>
      <c r="B536" s="8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row>
    <row r="537" customFormat="false" ht="15.75" hidden="false" customHeight="false" outlineLevel="0" collapsed="false">
      <c r="A537" s="16"/>
      <c r="B537" s="8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row>
    <row r="538" customFormat="false" ht="15.75" hidden="false" customHeight="false" outlineLevel="0" collapsed="false">
      <c r="A538" s="16"/>
      <c r="B538" s="8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row>
    <row r="539" customFormat="false" ht="15.75" hidden="false" customHeight="false" outlineLevel="0" collapsed="false">
      <c r="A539" s="16"/>
      <c r="B539" s="8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row>
    <row r="540" customFormat="false" ht="15.75" hidden="false" customHeight="false" outlineLevel="0" collapsed="false">
      <c r="A540" s="16"/>
      <c r="B540" s="8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row>
    <row r="541" customFormat="false" ht="15.75" hidden="false" customHeight="false" outlineLevel="0" collapsed="false">
      <c r="A541" s="16"/>
      <c r="B541" s="8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row>
    <row r="542" customFormat="false" ht="15.75" hidden="false" customHeight="false" outlineLevel="0" collapsed="false">
      <c r="A542" s="16"/>
      <c r="B542" s="8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row>
    <row r="543" customFormat="false" ht="15.75" hidden="false" customHeight="false" outlineLevel="0" collapsed="false">
      <c r="A543" s="16"/>
      <c r="B543" s="8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row>
    <row r="544" customFormat="false" ht="15.75" hidden="false" customHeight="false" outlineLevel="0" collapsed="false">
      <c r="A544" s="16"/>
      <c r="B544" s="8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row>
    <row r="545" customFormat="false" ht="15.75" hidden="false" customHeight="false" outlineLevel="0" collapsed="false">
      <c r="A545" s="16"/>
      <c r="B545" s="8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row>
    <row r="546" customFormat="false" ht="15.75" hidden="false" customHeight="false" outlineLevel="0" collapsed="false">
      <c r="A546" s="16"/>
      <c r="B546" s="8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row>
    <row r="547" customFormat="false" ht="15.75" hidden="false" customHeight="false" outlineLevel="0" collapsed="false">
      <c r="A547" s="16"/>
      <c r="B547" s="8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row>
    <row r="548" customFormat="false" ht="15.75" hidden="false" customHeight="false" outlineLevel="0" collapsed="false">
      <c r="A548" s="16"/>
      <c r="B548" s="8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row>
    <row r="549" customFormat="false" ht="15.75" hidden="false" customHeight="false" outlineLevel="0" collapsed="false">
      <c r="A549" s="16"/>
      <c r="B549" s="8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row>
    <row r="550" customFormat="false" ht="15.75" hidden="false" customHeight="false" outlineLevel="0" collapsed="false">
      <c r="A550" s="16"/>
      <c r="B550" s="8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row>
    <row r="551" customFormat="false" ht="15.75" hidden="false" customHeight="false" outlineLevel="0" collapsed="false">
      <c r="A551" s="16"/>
      <c r="B551" s="8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row>
    <row r="552" customFormat="false" ht="15.75" hidden="false" customHeight="false" outlineLevel="0" collapsed="false">
      <c r="A552" s="16"/>
      <c r="B552" s="8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row>
    <row r="553" customFormat="false" ht="15.75" hidden="false" customHeight="false" outlineLevel="0" collapsed="false">
      <c r="A553" s="16"/>
      <c r="B553" s="8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row>
    <row r="554" customFormat="false" ht="15.75" hidden="false" customHeight="false" outlineLevel="0" collapsed="false">
      <c r="A554" s="16"/>
      <c r="B554" s="8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row>
    <row r="555" customFormat="false" ht="15.75" hidden="false" customHeight="false" outlineLevel="0" collapsed="false">
      <c r="A555" s="16"/>
      <c r="B555" s="8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row>
    <row r="556" customFormat="false" ht="15.75" hidden="false" customHeight="false" outlineLevel="0" collapsed="false">
      <c r="A556" s="16"/>
      <c r="B556" s="8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row>
    <row r="557" customFormat="false" ht="15.75" hidden="false" customHeight="false" outlineLevel="0" collapsed="false">
      <c r="A557" s="16"/>
      <c r="B557" s="8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row>
    <row r="558" customFormat="false" ht="15.75" hidden="false" customHeight="false" outlineLevel="0" collapsed="false">
      <c r="A558" s="16"/>
      <c r="B558" s="8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row>
    <row r="559" customFormat="false" ht="15.75" hidden="false" customHeight="false" outlineLevel="0" collapsed="false">
      <c r="A559" s="16"/>
      <c r="B559" s="8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row>
    <row r="560" customFormat="false" ht="15.75" hidden="false" customHeight="false" outlineLevel="0" collapsed="false">
      <c r="A560" s="16"/>
      <c r="B560" s="8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row>
    <row r="561" customFormat="false" ht="15.75" hidden="false" customHeight="false" outlineLevel="0" collapsed="false">
      <c r="A561" s="16"/>
      <c r="B561" s="8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row>
    <row r="562" customFormat="false" ht="15.75" hidden="false" customHeight="false" outlineLevel="0" collapsed="false">
      <c r="A562" s="16"/>
      <c r="B562" s="8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row>
    <row r="563" customFormat="false" ht="15.75" hidden="false" customHeight="false" outlineLevel="0" collapsed="false">
      <c r="A563" s="16"/>
      <c r="B563" s="8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row>
    <row r="564" customFormat="false" ht="15.75" hidden="false" customHeight="false" outlineLevel="0" collapsed="false">
      <c r="A564" s="16"/>
      <c r="B564" s="8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row>
    <row r="565" customFormat="false" ht="15.75" hidden="false" customHeight="false" outlineLevel="0" collapsed="false">
      <c r="A565" s="16"/>
      <c r="B565" s="8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row>
    <row r="566" customFormat="false" ht="15.75" hidden="false" customHeight="false" outlineLevel="0" collapsed="false">
      <c r="A566" s="16"/>
      <c r="B566" s="8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row>
    <row r="567" customFormat="false" ht="15.75" hidden="false" customHeight="false" outlineLevel="0" collapsed="false">
      <c r="A567" s="16"/>
      <c r="B567" s="8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row>
    <row r="568" customFormat="false" ht="15.75" hidden="false" customHeight="false" outlineLevel="0" collapsed="false">
      <c r="A568" s="16"/>
      <c r="B568" s="8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row>
    <row r="569" customFormat="false" ht="15.75" hidden="false" customHeight="false" outlineLevel="0" collapsed="false">
      <c r="A569" s="16"/>
      <c r="B569" s="8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row>
    <row r="570" customFormat="false" ht="15.75" hidden="false" customHeight="false" outlineLevel="0" collapsed="false">
      <c r="A570" s="16"/>
      <c r="B570" s="8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row>
    <row r="571" customFormat="false" ht="15.75" hidden="false" customHeight="false" outlineLevel="0" collapsed="false">
      <c r="A571" s="16"/>
      <c r="B571" s="8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row>
    <row r="572" customFormat="false" ht="15.75" hidden="false" customHeight="false" outlineLevel="0" collapsed="false">
      <c r="A572" s="16"/>
      <c r="B572" s="8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row>
    <row r="573" customFormat="false" ht="15.75" hidden="false" customHeight="false" outlineLevel="0" collapsed="false">
      <c r="A573" s="16"/>
      <c r="B573" s="8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row>
    <row r="574" customFormat="false" ht="15.75" hidden="false" customHeight="false" outlineLevel="0" collapsed="false">
      <c r="A574" s="16"/>
      <c r="B574" s="8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row>
    <row r="575" customFormat="false" ht="15.75" hidden="false" customHeight="false" outlineLevel="0" collapsed="false">
      <c r="A575" s="16"/>
      <c r="B575" s="8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row>
    <row r="576" customFormat="false" ht="15.75" hidden="false" customHeight="false" outlineLevel="0" collapsed="false">
      <c r="A576" s="16"/>
      <c r="B576" s="8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row>
    <row r="577" customFormat="false" ht="15.75" hidden="false" customHeight="false" outlineLevel="0" collapsed="false">
      <c r="A577" s="16"/>
      <c r="B577" s="8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row>
    <row r="578" customFormat="false" ht="15.75" hidden="false" customHeight="false" outlineLevel="0" collapsed="false">
      <c r="A578" s="16"/>
      <c r="B578" s="8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row>
    <row r="579" customFormat="false" ht="15.75" hidden="false" customHeight="false" outlineLevel="0" collapsed="false">
      <c r="A579" s="16"/>
      <c r="B579" s="8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row>
    <row r="580" customFormat="false" ht="15.75" hidden="false" customHeight="false" outlineLevel="0" collapsed="false">
      <c r="A580" s="16"/>
      <c r="B580" s="8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row>
    <row r="581" customFormat="false" ht="15.75" hidden="false" customHeight="false" outlineLevel="0" collapsed="false">
      <c r="A581" s="16"/>
      <c r="B581" s="8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row>
    <row r="582" customFormat="false" ht="15.75" hidden="false" customHeight="false" outlineLevel="0" collapsed="false">
      <c r="A582" s="16"/>
      <c r="B582" s="8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row>
    <row r="583" customFormat="false" ht="15.75" hidden="false" customHeight="false" outlineLevel="0" collapsed="false">
      <c r="A583" s="16"/>
      <c r="B583" s="8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row>
    <row r="584" customFormat="false" ht="15.75" hidden="false" customHeight="false" outlineLevel="0" collapsed="false">
      <c r="A584" s="16"/>
      <c r="B584" s="8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row>
    <row r="585" customFormat="false" ht="15.75" hidden="false" customHeight="false" outlineLevel="0" collapsed="false">
      <c r="A585" s="16"/>
      <c r="B585" s="8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row>
    <row r="586" customFormat="false" ht="15.75" hidden="false" customHeight="false" outlineLevel="0" collapsed="false">
      <c r="A586" s="16"/>
      <c r="B586" s="8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row>
    <row r="587" customFormat="false" ht="15.75" hidden="false" customHeight="false" outlineLevel="0" collapsed="false">
      <c r="A587" s="16"/>
      <c r="B587" s="8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row>
    <row r="588" customFormat="false" ht="15.75" hidden="false" customHeight="false" outlineLevel="0" collapsed="false">
      <c r="A588" s="16"/>
      <c r="B588" s="8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row>
    <row r="589" customFormat="false" ht="15.75" hidden="false" customHeight="false" outlineLevel="0" collapsed="false">
      <c r="A589" s="16"/>
      <c r="B589" s="8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row>
    <row r="590" customFormat="false" ht="15.75" hidden="false" customHeight="false" outlineLevel="0" collapsed="false">
      <c r="A590" s="16"/>
      <c r="B590" s="8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row>
    <row r="591" customFormat="false" ht="15.75" hidden="false" customHeight="false" outlineLevel="0" collapsed="false">
      <c r="A591" s="16"/>
      <c r="B591" s="8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row>
    <row r="592" customFormat="false" ht="15.75" hidden="false" customHeight="false" outlineLevel="0" collapsed="false">
      <c r="A592" s="16"/>
      <c r="B592" s="8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row>
    <row r="593" customFormat="false" ht="15.75" hidden="false" customHeight="false" outlineLevel="0" collapsed="false">
      <c r="A593" s="16"/>
      <c r="B593" s="8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row>
    <row r="594" customFormat="false" ht="15.75" hidden="false" customHeight="false" outlineLevel="0" collapsed="false">
      <c r="A594" s="16"/>
      <c r="B594" s="8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row>
    <row r="595" customFormat="false" ht="15.75" hidden="false" customHeight="false" outlineLevel="0" collapsed="false">
      <c r="A595" s="16"/>
      <c r="B595" s="8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row>
    <row r="596" customFormat="false" ht="15.75" hidden="false" customHeight="false" outlineLevel="0" collapsed="false">
      <c r="A596" s="16"/>
      <c r="B596" s="8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row>
    <row r="597" customFormat="false" ht="15.75" hidden="false" customHeight="false" outlineLevel="0" collapsed="false">
      <c r="A597" s="16"/>
      <c r="B597" s="8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row>
    <row r="598" customFormat="false" ht="15.75" hidden="false" customHeight="false" outlineLevel="0" collapsed="false">
      <c r="A598" s="16"/>
      <c r="B598" s="8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row>
    <row r="599" customFormat="false" ht="15.75" hidden="false" customHeight="false" outlineLevel="0" collapsed="false">
      <c r="A599" s="16"/>
      <c r="B599" s="8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row>
    <row r="600" customFormat="false" ht="15.75" hidden="false" customHeight="false" outlineLevel="0" collapsed="false">
      <c r="A600" s="16"/>
      <c r="B600" s="8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row>
    <row r="601" customFormat="false" ht="15.75" hidden="false" customHeight="false" outlineLevel="0" collapsed="false">
      <c r="A601" s="16"/>
      <c r="B601" s="8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row>
    <row r="602" customFormat="false" ht="15.75" hidden="false" customHeight="false" outlineLevel="0" collapsed="false">
      <c r="A602" s="16"/>
      <c r="B602" s="8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row>
    <row r="603" customFormat="false" ht="15.75" hidden="false" customHeight="false" outlineLevel="0" collapsed="false">
      <c r="A603" s="16"/>
      <c r="B603" s="8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row>
    <row r="604" customFormat="false" ht="15.75" hidden="false" customHeight="false" outlineLevel="0" collapsed="false">
      <c r="A604" s="16"/>
      <c r="B604" s="8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row>
    <row r="605" customFormat="false" ht="15.75" hidden="false" customHeight="false" outlineLevel="0" collapsed="false">
      <c r="A605" s="16"/>
      <c r="B605" s="8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row>
    <row r="606" customFormat="false" ht="15.75" hidden="false" customHeight="false" outlineLevel="0" collapsed="false">
      <c r="A606" s="16"/>
      <c r="B606" s="8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row>
    <row r="607" customFormat="false" ht="15.75" hidden="false" customHeight="false" outlineLevel="0" collapsed="false">
      <c r="A607" s="16"/>
      <c r="B607" s="8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row>
    <row r="608" customFormat="false" ht="15.75" hidden="false" customHeight="false" outlineLevel="0" collapsed="false">
      <c r="A608" s="16"/>
      <c r="B608" s="8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row>
    <row r="609" customFormat="false" ht="15.75" hidden="false" customHeight="false" outlineLevel="0" collapsed="false">
      <c r="A609" s="16"/>
      <c r="B609" s="8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row>
    <row r="610" customFormat="false" ht="15.75" hidden="false" customHeight="false" outlineLevel="0" collapsed="false">
      <c r="A610" s="16"/>
      <c r="B610" s="8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row>
    <row r="611" customFormat="false" ht="15.75" hidden="false" customHeight="false" outlineLevel="0" collapsed="false">
      <c r="A611" s="16"/>
      <c r="B611" s="8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row>
    <row r="612" customFormat="false" ht="15.75" hidden="false" customHeight="false" outlineLevel="0" collapsed="false">
      <c r="A612" s="16"/>
      <c r="B612" s="8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row>
    <row r="613" customFormat="false" ht="15.75" hidden="false" customHeight="false" outlineLevel="0" collapsed="false">
      <c r="A613" s="16"/>
      <c r="B613" s="8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row>
    <row r="614" customFormat="false" ht="15.75" hidden="false" customHeight="false" outlineLevel="0" collapsed="false">
      <c r="A614" s="16"/>
      <c r="B614" s="8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row>
    <row r="615" customFormat="false" ht="15.75" hidden="false" customHeight="false" outlineLevel="0" collapsed="false">
      <c r="A615" s="16"/>
      <c r="B615" s="8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row>
    <row r="616" customFormat="false" ht="15.75" hidden="false" customHeight="false" outlineLevel="0" collapsed="false">
      <c r="A616" s="16"/>
      <c r="B616" s="8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row>
    <row r="617" customFormat="false" ht="15.75" hidden="false" customHeight="false" outlineLevel="0" collapsed="false">
      <c r="A617" s="16"/>
      <c r="B617" s="8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row>
    <row r="618" customFormat="false" ht="15.75" hidden="false" customHeight="false" outlineLevel="0" collapsed="false">
      <c r="A618" s="16"/>
      <c r="B618" s="8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row>
    <row r="619" customFormat="false" ht="15.75" hidden="false" customHeight="false" outlineLevel="0" collapsed="false">
      <c r="A619" s="16"/>
      <c r="B619" s="8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row>
    <row r="620" customFormat="false" ht="15.75" hidden="false" customHeight="false" outlineLevel="0" collapsed="false">
      <c r="A620" s="16"/>
      <c r="B620" s="8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row>
    <row r="621" customFormat="false" ht="15.75" hidden="false" customHeight="false" outlineLevel="0" collapsed="false">
      <c r="A621" s="16"/>
      <c r="B621" s="8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row>
    <row r="622" customFormat="false" ht="15.75" hidden="false" customHeight="false" outlineLevel="0" collapsed="false">
      <c r="A622" s="16"/>
      <c r="B622" s="8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row>
    <row r="623" customFormat="false" ht="15.75" hidden="false" customHeight="false" outlineLevel="0" collapsed="false">
      <c r="A623" s="16"/>
      <c r="B623" s="8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row>
    <row r="624" customFormat="false" ht="15.75" hidden="false" customHeight="false" outlineLevel="0" collapsed="false">
      <c r="A624" s="16"/>
      <c r="B624" s="8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row>
    <row r="625" customFormat="false" ht="15.75" hidden="false" customHeight="false" outlineLevel="0" collapsed="false">
      <c r="A625" s="16"/>
      <c r="B625" s="8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row>
    <row r="626" customFormat="false" ht="15.75" hidden="false" customHeight="false" outlineLevel="0" collapsed="false">
      <c r="A626" s="16"/>
      <c r="B626" s="8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row>
    <row r="627" customFormat="false" ht="15.75" hidden="false" customHeight="false" outlineLevel="0" collapsed="false">
      <c r="A627" s="16"/>
      <c r="B627" s="8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row>
    <row r="628" customFormat="false" ht="15.75" hidden="false" customHeight="false" outlineLevel="0" collapsed="false">
      <c r="A628" s="16"/>
      <c r="B628" s="8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row>
    <row r="629" customFormat="false" ht="15.75" hidden="false" customHeight="false" outlineLevel="0" collapsed="false">
      <c r="A629" s="16"/>
      <c r="B629" s="8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row>
    <row r="630" customFormat="false" ht="15.75" hidden="false" customHeight="false" outlineLevel="0" collapsed="false">
      <c r="A630" s="16"/>
      <c r="B630" s="8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row>
    <row r="631" customFormat="false" ht="15.75" hidden="false" customHeight="false" outlineLevel="0" collapsed="false">
      <c r="A631" s="16"/>
      <c r="B631" s="8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row>
    <row r="632" customFormat="false" ht="15.75" hidden="false" customHeight="false" outlineLevel="0" collapsed="false">
      <c r="A632" s="16"/>
      <c r="B632" s="8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row>
    <row r="633" customFormat="false" ht="15.75" hidden="false" customHeight="false" outlineLevel="0" collapsed="false">
      <c r="A633" s="16"/>
      <c r="B633" s="8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row>
    <row r="634" customFormat="false" ht="15.75" hidden="false" customHeight="false" outlineLevel="0" collapsed="false">
      <c r="A634" s="16"/>
      <c r="B634" s="8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row>
    <row r="635" customFormat="false" ht="15.75" hidden="false" customHeight="false" outlineLevel="0" collapsed="false">
      <c r="A635" s="16"/>
      <c r="B635" s="8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row>
    <row r="636" customFormat="false" ht="15.75" hidden="false" customHeight="false" outlineLevel="0" collapsed="false">
      <c r="A636" s="16"/>
      <c r="B636" s="8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row>
    <row r="637" customFormat="false" ht="15.75" hidden="false" customHeight="false" outlineLevel="0" collapsed="false">
      <c r="A637" s="16"/>
      <c r="B637" s="8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row>
    <row r="638" customFormat="false" ht="15.75" hidden="false" customHeight="false" outlineLevel="0" collapsed="false">
      <c r="A638" s="16"/>
      <c r="B638" s="8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row>
    <row r="639" customFormat="false" ht="15.75" hidden="false" customHeight="false" outlineLevel="0" collapsed="false">
      <c r="A639" s="16"/>
      <c r="B639" s="8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row>
    <row r="640" customFormat="false" ht="15.75" hidden="false" customHeight="false" outlineLevel="0" collapsed="false">
      <c r="A640" s="16"/>
      <c r="B640" s="8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row>
    <row r="641" customFormat="false" ht="15.75" hidden="false" customHeight="false" outlineLevel="0" collapsed="false">
      <c r="A641" s="16"/>
      <c r="B641" s="8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row>
    <row r="642" customFormat="false" ht="15.75" hidden="false" customHeight="false" outlineLevel="0" collapsed="false">
      <c r="A642" s="16"/>
      <c r="B642" s="8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row>
    <row r="643" customFormat="false" ht="15.75" hidden="false" customHeight="false" outlineLevel="0" collapsed="false">
      <c r="A643" s="16"/>
      <c r="B643" s="8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row>
    <row r="644" customFormat="false" ht="15.75" hidden="false" customHeight="false" outlineLevel="0" collapsed="false">
      <c r="A644" s="16"/>
      <c r="B644" s="8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row>
    <row r="645" customFormat="false" ht="15.75" hidden="false" customHeight="false" outlineLevel="0" collapsed="false">
      <c r="A645" s="16"/>
      <c r="B645" s="8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row>
    <row r="646" customFormat="false" ht="15.75" hidden="false" customHeight="false" outlineLevel="0" collapsed="false">
      <c r="A646" s="16"/>
      <c r="B646" s="8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row>
    <row r="647" customFormat="false" ht="15.75" hidden="false" customHeight="false" outlineLevel="0" collapsed="false">
      <c r="A647" s="16"/>
      <c r="B647" s="8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row>
    <row r="648" customFormat="false" ht="15.75" hidden="false" customHeight="false" outlineLevel="0" collapsed="false">
      <c r="A648" s="16"/>
      <c r="B648" s="8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row>
    <row r="649" customFormat="false" ht="15.75" hidden="false" customHeight="false" outlineLevel="0" collapsed="false">
      <c r="A649" s="16"/>
      <c r="B649" s="8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row>
    <row r="650" customFormat="false" ht="15.75" hidden="false" customHeight="false" outlineLevel="0" collapsed="false">
      <c r="A650" s="16"/>
      <c r="B650" s="8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row>
    <row r="651" customFormat="false" ht="15.75" hidden="false" customHeight="false" outlineLevel="0" collapsed="false">
      <c r="A651" s="16"/>
      <c r="B651" s="8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row>
    <row r="652" customFormat="false" ht="15.75" hidden="false" customHeight="false" outlineLevel="0" collapsed="false">
      <c r="A652" s="16"/>
      <c r="B652" s="8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row>
    <row r="653" customFormat="false" ht="15.75" hidden="false" customHeight="false" outlineLevel="0" collapsed="false">
      <c r="A653" s="16"/>
      <c r="B653" s="8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row>
    <row r="654" customFormat="false" ht="15.75" hidden="false" customHeight="false" outlineLevel="0" collapsed="false">
      <c r="A654" s="16"/>
      <c r="B654" s="8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row>
    <row r="655" customFormat="false" ht="15.75" hidden="false" customHeight="false" outlineLevel="0" collapsed="false">
      <c r="A655" s="16"/>
      <c r="B655" s="8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row>
    <row r="656" customFormat="false" ht="15.75" hidden="false" customHeight="false" outlineLevel="0" collapsed="false">
      <c r="A656" s="16"/>
      <c r="B656" s="8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row>
    <row r="657" customFormat="false" ht="15.75" hidden="false" customHeight="false" outlineLevel="0" collapsed="false">
      <c r="A657" s="16"/>
      <c r="B657" s="8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row>
    <row r="658" customFormat="false" ht="15.75" hidden="false" customHeight="false" outlineLevel="0" collapsed="false">
      <c r="A658" s="16"/>
      <c r="B658" s="8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row>
    <row r="659" customFormat="false" ht="15.75" hidden="false" customHeight="false" outlineLevel="0" collapsed="false">
      <c r="A659" s="16"/>
      <c r="B659" s="8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row>
    <row r="660" customFormat="false" ht="15.75" hidden="false" customHeight="false" outlineLevel="0" collapsed="false">
      <c r="A660" s="16"/>
      <c r="B660" s="8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row>
    <row r="661" customFormat="false" ht="15.75" hidden="false" customHeight="false" outlineLevel="0" collapsed="false">
      <c r="A661" s="16"/>
      <c r="B661" s="8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row>
    <row r="662" customFormat="false" ht="15.75" hidden="false" customHeight="false" outlineLevel="0" collapsed="false">
      <c r="A662" s="16"/>
      <c r="B662" s="8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row>
    <row r="663" customFormat="false" ht="15.75" hidden="false" customHeight="false" outlineLevel="0" collapsed="false">
      <c r="A663" s="16"/>
      <c r="B663" s="8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row>
    <row r="664" customFormat="false" ht="15.75" hidden="false" customHeight="false" outlineLevel="0" collapsed="false">
      <c r="A664" s="16"/>
      <c r="B664" s="8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row>
    <row r="665" customFormat="false" ht="15.75" hidden="false" customHeight="false" outlineLevel="0" collapsed="false">
      <c r="A665" s="16"/>
      <c r="B665" s="8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row>
    <row r="666" customFormat="false" ht="15.75" hidden="false" customHeight="false" outlineLevel="0" collapsed="false">
      <c r="A666" s="16"/>
      <c r="B666" s="8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row>
    <row r="667" customFormat="false" ht="15.75" hidden="false" customHeight="false" outlineLevel="0" collapsed="false">
      <c r="A667" s="16"/>
      <c r="B667" s="8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row>
    <row r="668" customFormat="false" ht="15.75" hidden="false" customHeight="false" outlineLevel="0" collapsed="false">
      <c r="A668" s="16"/>
      <c r="B668" s="8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row>
    <row r="669" customFormat="false" ht="15.75" hidden="false" customHeight="false" outlineLevel="0" collapsed="false">
      <c r="A669" s="16"/>
      <c r="B669" s="8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row>
    <row r="670" customFormat="false" ht="15.75" hidden="false" customHeight="false" outlineLevel="0" collapsed="false">
      <c r="A670" s="16"/>
      <c r="B670" s="8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row>
    <row r="671" customFormat="false" ht="15.75" hidden="false" customHeight="false" outlineLevel="0" collapsed="false">
      <c r="A671" s="16"/>
      <c r="B671" s="8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row>
    <row r="672" customFormat="false" ht="15.75" hidden="false" customHeight="false" outlineLevel="0" collapsed="false">
      <c r="A672" s="16"/>
      <c r="B672" s="8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row>
    <row r="673" customFormat="false" ht="15.75" hidden="false" customHeight="false" outlineLevel="0" collapsed="false">
      <c r="A673" s="16"/>
      <c r="B673" s="8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row>
    <row r="674" customFormat="false" ht="15.75" hidden="false" customHeight="false" outlineLevel="0" collapsed="false">
      <c r="A674" s="16"/>
      <c r="B674" s="8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row>
    <row r="675" customFormat="false" ht="15.75" hidden="false" customHeight="false" outlineLevel="0" collapsed="false">
      <c r="A675" s="16"/>
      <c r="B675" s="8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row>
    <row r="676" customFormat="false" ht="15.75" hidden="false" customHeight="false" outlineLevel="0" collapsed="false">
      <c r="A676" s="16"/>
      <c r="B676" s="8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row>
    <row r="677" customFormat="false" ht="15.75" hidden="false" customHeight="false" outlineLevel="0" collapsed="false">
      <c r="A677" s="16"/>
      <c r="B677" s="8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row>
    <row r="678" customFormat="false" ht="15.75" hidden="false" customHeight="false" outlineLevel="0" collapsed="false">
      <c r="A678" s="16"/>
      <c r="B678" s="8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row>
    <row r="679" customFormat="false" ht="15.75" hidden="false" customHeight="false" outlineLevel="0" collapsed="false">
      <c r="A679" s="16"/>
      <c r="B679" s="8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row>
    <row r="680" customFormat="false" ht="15.75" hidden="false" customHeight="false" outlineLevel="0" collapsed="false">
      <c r="A680" s="16"/>
      <c r="B680" s="8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row>
    <row r="681" customFormat="false" ht="15.75" hidden="false" customHeight="false" outlineLevel="0" collapsed="false">
      <c r="A681" s="16"/>
      <c r="B681" s="8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row>
    <row r="682" customFormat="false" ht="15.75" hidden="false" customHeight="false" outlineLevel="0" collapsed="false">
      <c r="A682" s="16"/>
      <c r="B682" s="8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row>
    <row r="683" customFormat="false" ht="15.75" hidden="false" customHeight="false" outlineLevel="0" collapsed="false">
      <c r="A683" s="16"/>
      <c r="B683" s="8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row>
    <row r="684" customFormat="false" ht="15.75" hidden="false" customHeight="false" outlineLevel="0" collapsed="false">
      <c r="A684" s="16"/>
      <c r="B684" s="8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row>
    <row r="685" customFormat="false" ht="15.75" hidden="false" customHeight="false" outlineLevel="0" collapsed="false">
      <c r="A685" s="16"/>
      <c r="B685" s="8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row>
    <row r="686" customFormat="false" ht="15.75" hidden="false" customHeight="false" outlineLevel="0" collapsed="false">
      <c r="A686" s="16"/>
      <c r="B686" s="8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row>
    <row r="687" customFormat="false" ht="15.75" hidden="false" customHeight="false" outlineLevel="0" collapsed="false">
      <c r="A687" s="16"/>
      <c r="B687" s="8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row>
    <row r="688" customFormat="false" ht="15.75" hidden="false" customHeight="false" outlineLevel="0" collapsed="false">
      <c r="A688" s="16"/>
      <c r="B688" s="8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row>
    <row r="689" customFormat="false" ht="15.75" hidden="false" customHeight="false" outlineLevel="0" collapsed="false">
      <c r="A689" s="16"/>
      <c r="B689" s="8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row>
    <row r="690" customFormat="false" ht="15.75" hidden="false" customHeight="false" outlineLevel="0" collapsed="false">
      <c r="A690" s="16"/>
      <c r="B690" s="8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row>
    <row r="691" customFormat="false" ht="15.75" hidden="false" customHeight="false" outlineLevel="0" collapsed="false">
      <c r="A691" s="16"/>
      <c r="B691" s="8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row>
    <row r="692" customFormat="false" ht="15.75" hidden="false" customHeight="false" outlineLevel="0" collapsed="false">
      <c r="A692" s="16"/>
      <c r="B692" s="8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row>
    <row r="693" customFormat="false" ht="15.75" hidden="false" customHeight="false" outlineLevel="0" collapsed="false">
      <c r="A693" s="16"/>
      <c r="B693" s="8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row>
    <row r="694" customFormat="false" ht="15.75" hidden="false" customHeight="false" outlineLevel="0" collapsed="false">
      <c r="A694" s="16"/>
      <c r="B694" s="8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row>
    <row r="695" customFormat="false" ht="15.75" hidden="false" customHeight="false" outlineLevel="0" collapsed="false">
      <c r="A695" s="16"/>
      <c r="B695" s="8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row>
    <row r="696" customFormat="false" ht="15.75" hidden="false" customHeight="false" outlineLevel="0" collapsed="false">
      <c r="A696" s="16"/>
      <c r="B696" s="8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row>
    <row r="697" customFormat="false" ht="15.75" hidden="false" customHeight="false" outlineLevel="0" collapsed="false">
      <c r="A697" s="16"/>
      <c r="B697" s="8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row>
    <row r="698" customFormat="false" ht="15.75" hidden="false" customHeight="false" outlineLevel="0" collapsed="false">
      <c r="A698" s="16"/>
      <c r="B698" s="8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row>
    <row r="699" customFormat="false" ht="15.75" hidden="false" customHeight="false" outlineLevel="0" collapsed="false">
      <c r="A699" s="16"/>
      <c r="B699" s="8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row>
    <row r="700" customFormat="false" ht="15.75" hidden="false" customHeight="false" outlineLevel="0" collapsed="false">
      <c r="A700" s="16"/>
      <c r="B700" s="8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row>
    <row r="701" customFormat="false" ht="15.75" hidden="false" customHeight="false" outlineLevel="0" collapsed="false">
      <c r="A701" s="16"/>
      <c r="B701" s="8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row>
    <row r="702" customFormat="false" ht="15.75" hidden="false" customHeight="false" outlineLevel="0" collapsed="false">
      <c r="A702" s="16"/>
      <c r="B702" s="8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row>
    <row r="703" customFormat="false" ht="15.75" hidden="false" customHeight="false" outlineLevel="0" collapsed="false">
      <c r="A703" s="16"/>
      <c r="B703" s="8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row>
    <row r="704" customFormat="false" ht="15.75" hidden="false" customHeight="false" outlineLevel="0" collapsed="false">
      <c r="A704" s="16"/>
      <c r="B704" s="8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row>
    <row r="705" customFormat="false" ht="15.75" hidden="false" customHeight="false" outlineLevel="0" collapsed="false">
      <c r="A705" s="16"/>
      <c r="B705" s="8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row>
    <row r="706" customFormat="false" ht="15.75" hidden="false" customHeight="false" outlineLevel="0" collapsed="false">
      <c r="A706" s="16"/>
      <c r="B706" s="8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row>
    <row r="707" customFormat="false" ht="15.75" hidden="false" customHeight="false" outlineLevel="0" collapsed="false">
      <c r="A707" s="16"/>
      <c r="B707" s="8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row>
    <row r="708" customFormat="false" ht="15.75" hidden="false" customHeight="false" outlineLevel="0" collapsed="false">
      <c r="A708" s="16"/>
      <c r="B708" s="8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row>
    <row r="709" customFormat="false" ht="15.75" hidden="false" customHeight="false" outlineLevel="0" collapsed="false">
      <c r="A709" s="16"/>
      <c r="B709" s="8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row>
    <row r="710" customFormat="false" ht="15.75" hidden="false" customHeight="false" outlineLevel="0" collapsed="false">
      <c r="A710" s="16"/>
      <c r="B710" s="8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row>
    <row r="711" customFormat="false" ht="15.75" hidden="false" customHeight="false" outlineLevel="0" collapsed="false">
      <c r="A711" s="16"/>
      <c r="B711" s="8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row>
    <row r="712" customFormat="false" ht="15.75" hidden="false" customHeight="false" outlineLevel="0" collapsed="false">
      <c r="A712" s="16"/>
      <c r="B712" s="8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row>
    <row r="713" customFormat="false" ht="15.75" hidden="false" customHeight="false" outlineLevel="0" collapsed="false">
      <c r="A713" s="16"/>
      <c r="B713" s="8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row>
    <row r="714" customFormat="false" ht="15.75" hidden="false" customHeight="false" outlineLevel="0" collapsed="false">
      <c r="A714" s="16"/>
      <c r="B714" s="8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row>
    <row r="715" customFormat="false" ht="15.75" hidden="false" customHeight="false" outlineLevel="0" collapsed="false">
      <c r="A715" s="16"/>
      <c r="B715" s="8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row>
    <row r="716" customFormat="false" ht="15.75" hidden="false" customHeight="false" outlineLevel="0" collapsed="false">
      <c r="A716" s="16"/>
      <c r="B716" s="8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row>
    <row r="717" customFormat="false" ht="15.75" hidden="false" customHeight="false" outlineLevel="0" collapsed="false">
      <c r="A717" s="16"/>
      <c r="B717" s="8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row>
    <row r="718" customFormat="false" ht="15.75" hidden="false" customHeight="false" outlineLevel="0" collapsed="false">
      <c r="A718" s="16"/>
      <c r="B718" s="8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row>
    <row r="719" customFormat="false" ht="15.75" hidden="false" customHeight="false" outlineLevel="0" collapsed="false">
      <c r="A719" s="16"/>
      <c r="B719" s="8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row>
    <row r="720" customFormat="false" ht="15.75" hidden="false" customHeight="false" outlineLevel="0" collapsed="false">
      <c r="A720" s="16"/>
      <c r="B720" s="8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row>
    <row r="721" customFormat="false" ht="15.75" hidden="false" customHeight="false" outlineLevel="0" collapsed="false">
      <c r="A721" s="16"/>
      <c r="B721" s="8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row>
    <row r="722" customFormat="false" ht="15.75" hidden="false" customHeight="false" outlineLevel="0" collapsed="false">
      <c r="A722" s="16"/>
      <c r="B722" s="8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row>
    <row r="723" customFormat="false" ht="15.75" hidden="false" customHeight="false" outlineLevel="0" collapsed="false">
      <c r="A723" s="16"/>
      <c r="B723" s="8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row>
    <row r="724" customFormat="false" ht="15.75" hidden="false" customHeight="false" outlineLevel="0" collapsed="false">
      <c r="A724" s="16"/>
      <c r="B724" s="8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row>
    <row r="725" customFormat="false" ht="15.75" hidden="false" customHeight="false" outlineLevel="0" collapsed="false">
      <c r="A725" s="16"/>
      <c r="B725" s="8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row>
    <row r="726" customFormat="false" ht="15.75" hidden="false" customHeight="false" outlineLevel="0" collapsed="false">
      <c r="A726" s="16"/>
      <c r="B726" s="8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row>
    <row r="727" customFormat="false" ht="15.75" hidden="false" customHeight="false" outlineLevel="0" collapsed="false">
      <c r="A727" s="16"/>
      <c r="B727" s="8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row>
    <row r="728" customFormat="false" ht="15.75" hidden="false" customHeight="false" outlineLevel="0" collapsed="false">
      <c r="A728" s="16"/>
      <c r="B728" s="8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row>
    <row r="729" customFormat="false" ht="15.75" hidden="false" customHeight="false" outlineLevel="0" collapsed="false">
      <c r="A729" s="16"/>
      <c r="B729" s="8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row>
    <row r="730" customFormat="false" ht="15.75" hidden="false" customHeight="false" outlineLevel="0" collapsed="false">
      <c r="A730" s="16"/>
      <c r="B730" s="8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row>
    <row r="731" customFormat="false" ht="15.75" hidden="false" customHeight="false" outlineLevel="0" collapsed="false">
      <c r="A731" s="16"/>
      <c r="B731" s="8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row>
    <row r="732" customFormat="false" ht="15.75" hidden="false" customHeight="false" outlineLevel="0" collapsed="false">
      <c r="A732" s="16"/>
      <c r="B732" s="8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row>
    <row r="733" customFormat="false" ht="15.75" hidden="false" customHeight="false" outlineLevel="0" collapsed="false">
      <c r="A733" s="16"/>
      <c r="B733" s="8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row>
    <row r="734" customFormat="false" ht="15.75" hidden="false" customHeight="false" outlineLevel="0" collapsed="false">
      <c r="A734" s="16"/>
      <c r="B734" s="8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row>
    <row r="735" customFormat="false" ht="15.75" hidden="false" customHeight="false" outlineLevel="0" collapsed="false">
      <c r="A735" s="16"/>
      <c r="B735" s="8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row>
    <row r="736" customFormat="false" ht="15.75" hidden="false" customHeight="false" outlineLevel="0" collapsed="false">
      <c r="A736" s="16"/>
      <c r="B736" s="8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row>
    <row r="737" customFormat="false" ht="15.75" hidden="false" customHeight="false" outlineLevel="0" collapsed="false">
      <c r="A737" s="16"/>
      <c r="B737" s="8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row>
    <row r="738" customFormat="false" ht="15.75" hidden="false" customHeight="false" outlineLevel="0" collapsed="false">
      <c r="A738" s="16"/>
      <c r="B738" s="8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row>
    <row r="739" customFormat="false" ht="15.75" hidden="false" customHeight="false" outlineLevel="0" collapsed="false">
      <c r="A739" s="16"/>
      <c r="B739" s="8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row>
    <row r="740" customFormat="false" ht="15.75" hidden="false" customHeight="false" outlineLevel="0" collapsed="false">
      <c r="A740" s="16"/>
      <c r="B740" s="8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row>
    <row r="741" customFormat="false" ht="15.75" hidden="false" customHeight="false" outlineLevel="0" collapsed="false">
      <c r="A741" s="16"/>
      <c r="B741" s="8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row>
    <row r="742" customFormat="false" ht="15.75" hidden="false" customHeight="false" outlineLevel="0" collapsed="false">
      <c r="A742" s="16"/>
      <c r="B742" s="8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row>
    <row r="743" customFormat="false" ht="15.75" hidden="false" customHeight="false" outlineLevel="0" collapsed="false">
      <c r="A743" s="16"/>
      <c r="B743" s="8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row>
    <row r="744" customFormat="false" ht="15.75" hidden="false" customHeight="false" outlineLevel="0" collapsed="false">
      <c r="A744" s="16"/>
      <c r="B744" s="8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row>
    <row r="745" customFormat="false" ht="15.75" hidden="false" customHeight="false" outlineLevel="0" collapsed="false">
      <c r="A745" s="16"/>
      <c r="B745" s="8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row>
    <row r="746" customFormat="false" ht="15.75" hidden="false" customHeight="false" outlineLevel="0" collapsed="false">
      <c r="A746" s="16"/>
      <c r="B746" s="8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row>
    <row r="747" customFormat="false" ht="15.75" hidden="false" customHeight="false" outlineLevel="0" collapsed="false">
      <c r="A747" s="16"/>
      <c r="B747" s="8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row>
    <row r="748" customFormat="false" ht="15.75" hidden="false" customHeight="false" outlineLevel="0" collapsed="false">
      <c r="A748" s="16"/>
      <c r="B748" s="8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row>
    <row r="749" customFormat="false" ht="15.75" hidden="false" customHeight="false" outlineLevel="0" collapsed="false">
      <c r="A749" s="16"/>
      <c r="B749" s="8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row>
    <row r="750" customFormat="false" ht="15.75" hidden="false" customHeight="false" outlineLevel="0" collapsed="false">
      <c r="A750" s="16"/>
      <c r="B750" s="8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row>
    <row r="751" customFormat="false" ht="15.75" hidden="false" customHeight="false" outlineLevel="0" collapsed="false">
      <c r="A751" s="16"/>
      <c r="B751" s="8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row>
    <row r="752" customFormat="false" ht="15.75" hidden="false" customHeight="false" outlineLevel="0" collapsed="false">
      <c r="A752" s="16"/>
      <c r="B752" s="8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row>
    <row r="753" customFormat="false" ht="15.75" hidden="false" customHeight="false" outlineLevel="0" collapsed="false">
      <c r="A753" s="16"/>
      <c r="B753" s="8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row>
    <row r="754" customFormat="false" ht="15.75" hidden="false" customHeight="false" outlineLevel="0" collapsed="false">
      <c r="A754" s="16"/>
      <c r="B754" s="8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row>
    <row r="755" customFormat="false" ht="15.75" hidden="false" customHeight="false" outlineLevel="0" collapsed="false">
      <c r="A755" s="16"/>
      <c r="B755" s="8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row>
    <row r="756" customFormat="false" ht="15.75" hidden="false" customHeight="false" outlineLevel="0" collapsed="false">
      <c r="A756" s="16"/>
      <c r="B756" s="8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row>
    <row r="757" customFormat="false" ht="15.75" hidden="false" customHeight="false" outlineLevel="0" collapsed="false">
      <c r="A757" s="16"/>
      <c r="B757" s="8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row>
    <row r="758" customFormat="false" ht="15.75" hidden="false" customHeight="false" outlineLevel="0" collapsed="false">
      <c r="A758" s="16"/>
      <c r="B758" s="8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row>
    <row r="759" customFormat="false" ht="15.75" hidden="false" customHeight="false" outlineLevel="0" collapsed="false">
      <c r="A759" s="16"/>
      <c r="B759" s="8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row>
    <row r="760" customFormat="false" ht="15.75" hidden="false" customHeight="false" outlineLevel="0" collapsed="false">
      <c r="A760" s="16"/>
      <c r="B760" s="8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row>
    <row r="761" customFormat="false" ht="15.75" hidden="false" customHeight="false" outlineLevel="0" collapsed="false">
      <c r="A761" s="16"/>
      <c r="B761" s="8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row>
    <row r="762" customFormat="false" ht="15.75" hidden="false" customHeight="false" outlineLevel="0" collapsed="false">
      <c r="A762" s="16"/>
      <c r="B762" s="8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row>
    <row r="763" customFormat="false" ht="15.75" hidden="false" customHeight="false" outlineLevel="0" collapsed="false">
      <c r="A763" s="16"/>
      <c r="B763" s="8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row>
    <row r="764" customFormat="false" ht="15.75" hidden="false" customHeight="false" outlineLevel="0" collapsed="false">
      <c r="A764" s="16"/>
      <c r="B764" s="8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row>
    <row r="765" customFormat="false" ht="15.75" hidden="false" customHeight="false" outlineLevel="0" collapsed="false">
      <c r="A765" s="16"/>
      <c r="B765" s="8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row>
    <row r="766" customFormat="false" ht="15.75" hidden="false" customHeight="false" outlineLevel="0" collapsed="false">
      <c r="A766" s="16"/>
      <c r="B766" s="8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row>
    <row r="767" customFormat="false" ht="15.75" hidden="false" customHeight="false" outlineLevel="0" collapsed="false">
      <c r="A767" s="16"/>
      <c r="B767" s="8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row>
    <row r="768" customFormat="false" ht="15.75" hidden="false" customHeight="false" outlineLevel="0" collapsed="false">
      <c r="A768" s="16"/>
      <c r="B768" s="8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row>
    <row r="769" customFormat="false" ht="15.75" hidden="false" customHeight="false" outlineLevel="0" collapsed="false">
      <c r="A769" s="16"/>
      <c r="B769" s="8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row>
    <row r="770" customFormat="false" ht="15.75" hidden="false" customHeight="false" outlineLevel="0" collapsed="false">
      <c r="A770" s="16"/>
      <c r="B770" s="8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row>
    <row r="771" customFormat="false" ht="15.75" hidden="false" customHeight="false" outlineLevel="0" collapsed="false">
      <c r="A771" s="16"/>
      <c r="B771" s="8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row>
    <row r="772" customFormat="false" ht="15.75" hidden="false" customHeight="false" outlineLevel="0" collapsed="false">
      <c r="A772" s="16"/>
      <c r="B772" s="8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row>
    <row r="773" customFormat="false" ht="15.75" hidden="false" customHeight="false" outlineLevel="0" collapsed="false">
      <c r="A773" s="16"/>
      <c r="B773" s="8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row>
    <row r="774" customFormat="false" ht="15.75" hidden="false" customHeight="false" outlineLevel="0" collapsed="false">
      <c r="A774" s="16"/>
      <c r="B774" s="8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row>
    <row r="775" customFormat="false" ht="15.75" hidden="false" customHeight="false" outlineLevel="0" collapsed="false">
      <c r="A775" s="16"/>
      <c r="B775" s="8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row>
    <row r="776" customFormat="false" ht="15.75" hidden="false" customHeight="false" outlineLevel="0" collapsed="false">
      <c r="A776" s="16"/>
      <c r="B776" s="8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row>
    <row r="777" customFormat="false" ht="15.75" hidden="false" customHeight="false" outlineLevel="0" collapsed="false">
      <c r="A777" s="16"/>
      <c r="B777" s="8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row>
    <row r="778" customFormat="false" ht="15.75" hidden="false" customHeight="false" outlineLevel="0" collapsed="false">
      <c r="A778" s="16"/>
      <c r="B778" s="8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row>
    <row r="779" customFormat="false" ht="15.75" hidden="false" customHeight="false" outlineLevel="0" collapsed="false">
      <c r="A779" s="16"/>
      <c r="B779" s="8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row>
    <row r="780" customFormat="false" ht="15.75" hidden="false" customHeight="false" outlineLevel="0" collapsed="false">
      <c r="A780" s="16"/>
      <c r="B780" s="8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row>
    <row r="781" customFormat="false" ht="15.75" hidden="false" customHeight="false" outlineLevel="0" collapsed="false">
      <c r="A781" s="16"/>
      <c r="B781" s="8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row>
    <row r="782" customFormat="false" ht="15.75" hidden="false" customHeight="false" outlineLevel="0" collapsed="false">
      <c r="A782" s="16"/>
      <c r="B782" s="8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row>
    <row r="783" customFormat="false" ht="15.75" hidden="false" customHeight="false" outlineLevel="0" collapsed="false">
      <c r="A783" s="16"/>
      <c r="B783" s="8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row>
    <row r="784" customFormat="false" ht="15.75" hidden="false" customHeight="false" outlineLevel="0" collapsed="false">
      <c r="A784" s="16"/>
      <c r="B784" s="8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row>
    <row r="785" customFormat="false" ht="15.75" hidden="false" customHeight="false" outlineLevel="0" collapsed="false">
      <c r="A785" s="16"/>
      <c r="B785" s="8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row>
    <row r="786" customFormat="false" ht="15.75" hidden="false" customHeight="false" outlineLevel="0" collapsed="false">
      <c r="A786" s="16"/>
      <c r="B786" s="8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row>
    <row r="787" customFormat="false" ht="15.75" hidden="false" customHeight="false" outlineLevel="0" collapsed="false">
      <c r="A787" s="16"/>
      <c r="B787" s="8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row>
    <row r="788" customFormat="false" ht="15.75" hidden="false" customHeight="false" outlineLevel="0" collapsed="false">
      <c r="A788" s="16"/>
      <c r="B788" s="8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row>
    <row r="789" customFormat="false" ht="15.75" hidden="false" customHeight="false" outlineLevel="0" collapsed="false">
      <c r="A789" s="16"/>
      <c r="B789" s="8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row>
    <row r="790" customFormat="false" ht="15.75" hidden="false" customHeight="false" outlineLevel="0" collapsed="false">
      <c r="A790" s="16"/>
      <c r="B790" s="8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row>
    <row r="791" customFormat="false" ht="15.75" hidden="false" customHeight="false" outlineLevel="0" collapsed="false">
      <c r="A791" s="16"/>
      <c r="B791" s="8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row>
    <row r="792" customFormat="false" ht="15.75" hidden="false" customHeight="false" outlineLevel="0" collapsed="false">
      <c r="A792" s="16"/>
      <c r="B792" s="8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row>
    <row r="793" customFormat="false" ht="15.75" hidden="false" customHeight="false" outlineLevel="0" collapsed="false">
      <c r="A793" s="16"/>
      <c r="B793" s="8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row>
    <row r="794" customFormat="false" ht="15.75" hidden="false" customHeight="false" outlineLevel="0" collapsed="false">
      <c r="A794" s="16"/>
      <c r="B794" s="8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row>
    <row r="795" customFormat="false" ht="15.75" hidden="false" customHeight="false" outlineLevel="0" collapsed="false">
      <c r="A795" s="16"/>
      <c r="B795" s="8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row>
    <row r="796" customFormat="false" ht="15.75" hidden="false" customHeight="false" outlineLevel="0" collapsed="false">
      <c r="A796" s="16"/>
      <c r="B796" s="8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row>
    <row r="797" customFormat="false" ht="15.75" hidden="false" customHeight="false" outlineLevel="0" collapsed="false">
      <c r="A797" s="16"/>
      <c r="B797" s="8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row>
    <row r="798" customFormat="false" ht="15.75" hidden="false" customHeight="false" outlineLevel="0" collapsed="false">
      <c r="A798" s="16"/>
      <c r="B798" s="8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row>
    <row r="799" customFormat="false" ht="15.75" hidden="false" customHeight="false" outlineLevel="0" collapsed="false">
      <c r="A799" s="16"/>
      <c r="B799" s="8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row>
    <row r="800" customFormat="false" ht="15.75" hidden="false" customHeight="false" outlineLevel="0" collapsed="false">
      <c r="A800" s="16"/>
      <c r="B800" s="8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row>
    <row r="801" customFormat="false" ht="15.75" hidden="false" customHeight="false" outlineLevel="0" collapsed="false">
      <c r="A801" s="16"/>
      <c r="B801" s="8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row>
    <row r="802" customFormat="false" ht="15.75" hidden="false" customHeight="false" outlineLevel="0" collapsed="false">
      <c r="A802" s="16"/>
      <c r="B802" s="8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row>
    <row r="803" customFormat="false" ht="15.75" hidden="false" customHeight="false" outlineLevel="0" collapsed="false">
      <c r="A803" s="16"/>
      <c r="B803" s="8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row>
    <row r="804" customFormat="false" ht="15.75" hidden="false" customHeight="false" outlineLevel="0" collapsed="false">
      <c r="A804" s="16"/>
      <c r="B804" s="8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row>
    <row r="805" customFormat="false" ht="15.75" hidden="false" customHeight="false" outlineLevel="0" collapsed="false">
      <c r="A805" s="16"/>
      <c r="B805" s="8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row>
    <row r="806" customFormat="false" ht="15.75" hidden="false" customHeight="false" outlineLevel="0" collapsed="false">
      <c r="A806" s="16"/>
      <c r="B806" s="8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row>
    <row r="807" customFormat="false" ht="15.75" hidden="false" customHeight="false" outlineLevel="0" collapsed="false">
      <c r="A807" s="16"/>
      <c r="B807" s="8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row>
    <row r="808" customFormat="false" ht="15.75" hidden="false" customHeight="false" outlineLevel="0" collapsed="false">
      <c r="A808" s="16"/>
      <c r="B808" s="8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row>
    <row r="809" customFormat="false" ht="15.75" hidden="false" customHeight="false" outlineLevel="0" collapsed="false">
      <c r="A809" s="16"/>
      <c r="B809" s="8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row>
    <row r="810" customFormat="false" ht="15.75" hidden="false" customHeight="false" outlineLevel="0" collapsed="false">
      <c r="A810" s="16"/>
      <c r="B810" s="8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row>
    <row r="811" customFormat="false" ht="15.75" hidden="false" customHeight="false" outlineLevel="0" collapsed="false">
      <c r="A811" s="16"/>
      <c r="B811" s="8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row>
    <row r="812" customFormat="false" ht="15.75" hidden="false" customHeight="false" outlineLevel="0" collapsed="false">
      <c r="A812" s="16"/>
      <c r="B812" s="8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row>
    <row r="813" customFormat="false" ht="15.75" hidden="false" customHeight="false" outlineLevel="0" collapsed="false">
      <c r="A813" s="16"/>
      <c r="B813" s="8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row>
    <row r="814" customFormat="false" ht="15.75" hidden="false" customHeight="false" outlineLevel="0" collapsed="false">
      <c r="A814" s="16"/>
      <c r="B814" s="8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row>
    <row r="815" customFormat="false" ht="15.75" hidden="false" customHeight="false" outlineLevel="0" collapsed="false">
      <c r="A815" s="16"/>
      <c r="B815" s="8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row>
    <row r="816" customFormat="false" ht="15.75" hidden="false" customHeight="false" outlineLevel="0" collapsed="false">
      <c r="A816" s="16"/>
      <c r="B816" s="8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row>
    <row r="817" customFormat="false" ht="15.75" hidden="false" customHeight="false" outlineLevel="0" collapsed="false">
      <c r="A817" s="16"/>
      <c r="B817" s="8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row>
    <row r="818" customFormat="false" ht="15.75" hidden="false" customHeight="false" outlineLevel="0" collapsed="false">
      <c r="A818" s="16"/>
      <c r="B818" s="8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row>
    <row r="819" customFormat="false" ht="15.75" hidden="false" customHeight="false" outlineLevel="0" collapsed="false">
      <c r="A819" s="16"/>
      <c r="B819" s="8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row>
    <row r="820" customFormat="false" ht="15.75" hidden="false" customHeight="false" outlineLevel="0" collapsed="false">
      <c r="A820" s="16"/>
      <c r="B820" s="8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row>
    <row r="821" customFormat="false" ht="15.75" hidden="false" customHeight="false" outlineLevel="0" collapsed="false">
      <c r="A821" s="16"/>
      <c r="B821" s="8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row>
    <row r="822" customFormat="false" ht="15.75" hidden="false" customHeight="false" outlineLevel="0" collapsed="false">
      <c r="A822" s="16"/>
      <c r="B822" s="8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row>
    <row r="823" customFormat="false" ht="15.75" hidden="false" customHeight="false" outlineLevel="0" collapsed="false">
      <c r="A823" s="16"/>
      <c r="B823" s="8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row>
    <row r="824" customFormat="false" ht="15.75" hidden="false" customHeight="false" outlineLevel="0" collapsed="false">
      <c r="A824" s="16"/>
      <c r="B824" s="8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row>
    <row r="825" customFormat="false" ht="15.75" hidden="false" customHeight="false" outlineLevel="0" collapsed="false">
      <c r="A825" s="16"/>
      <c r="B825" s="8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row>
    <row r="826" customFormat="false" ht="15.75" hidden="false" customHeight="false" outlineLevel="0" collapsed="false">
      <c r="A826" s="16"/>
      <c r="B826" s="8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row>
    <row r="827" customFormat="false" ht="15.75" hidden="false" customHeight="false" outlineLevel="0" collapsed="false">
      <c r="A827" s="16"/>
      <c r="B827" s="8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row>
    <row r="828" customFormat="false" ht="15.75" hidden="false" customHeight="false" outlineLevel="0" collapsed="false">
      <c r="A828" s="16"/>
      <c r="B828" s="8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row>
    <row r="829" customFormat="false" ht="15.75" hidden="false" customHeight="false" outlineLevel="0" collapsed="false">
      <c r="A829" s="16"/>
      <c r="B829" s="8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row>
    <row r="830" customFormat="false" ht="15.75" hidden="false" customHeight="false" outlineLevel="0" collapsed="false">
      <c r="A830" s="16"/>
      <c r="B830" s="8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row>
    <row r="831" customFormat="false" ht="15.75" hidden="false" customHeight="false" outlineLevel="0" collapsed="false">
      <c r="A831" s="16"/>
      <c r="B831" s="8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row>
    <row r="832" customFormat="false" ht="15.75" hidden="false" customHeight="false" outlineLevel="0" collapsed="false">
      <c r="A832" s="16"/>
      <c r="B832" s="8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row>
    <row r="833" customFormat="false" ht="15.75" hidden="false" customHeight="false" outlineLevel="0" collapsed="false">
      <c r="A833" s="16"/>
      <c r="B833" s="8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row>
    <row r="834" customFormat="false" ht="15.75" hidden="false" customHeight="false" outlineLevel="0" collapsed="false">
      <c r="A834" s="16"/>
      <c r="B834" s="8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row>
    <row r="835" customFormat="false" ht="15.75" hidden="false" customHeight="false" outlineLevel="0" collapsed="false">
      <c r="A835" s="16"/>
      <c r="B835" s="8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row>
    <row r="836" customFormat="false" ht="15.75" hidden="false" customHeight="false" outlineLevel="0" collapsed="false">
      <c r="A836" s="16"/>
      <c r="B836" s="8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row>
    <row r="837" customFormat="false" ht="15.75" hidden="false" customHeight="false" outlineLevel="0" collapsed="false">
      <c r="A837" s="16"/>
      <c r="B837" s="8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row>
    <row r="838" customFormat="false" ht="15.75" hidden="false" customHeight="false" outlineLevel="0" collapsed="false">
      <c r="A838" s="16"/>
      <c r="B838" s="8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row>
    <row r="839" customFormat="false" ht="15.75" hidden="false" customHeight="false" outlineLevel="0" collapsed="false">
      <c r="A839" s="16"/>
      <c r="B839" s="8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row>
    <row r="840" customFormat="false" ht="15.75" hidden="false" customHeight="false" outlineLevel="0" collapsed="false">
      <c r="A840" s="16"/>
      <c r="B840" s="8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row>
    <row r="841" customFormat="false" ht="15.75" hidden="false" customHeight="false" outlineLevel="0" collapsed="false">
      <c r="A841" s="16"/>
      <c r="B841" s="8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row>
    <row r="842" customFormat="false" ht="15.75" hidden="false" customHeight="false" outlineLevel="0" collapsed="false">
      <c r="A842" s="16"/>
      <c r="B842" s="8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row>
    <row r="843" customFormat="false" ht="15.75" hidden="false" customHeight="false" outlineLevel="0" collapsed="false">
      <c r="A843" s="16"/>
      <c r="B843" s="8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row>
    <row r="844" customFormat="false" ht="15.75" hidden="false" customHeight="false" outlineLevel="0" collapsed="false">
      <c r="A844" s="16"/>
      <c r="B844" s="8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row>
    <row r="845" customFormat="false" ht="15.75" hidden="false" customHeight="false" outlineLevel="0" collapsed="false">
      <c r="A845" s="16"/>
      <c r="B845" s="8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row>
    <row r="846" customFormat="false" ht="15.75" hidden="false" customHeight="false" outlineLevel="0" collapsed="false">
      <c r="A846" s="16"/>
      <c r="B846" s="8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row>
    <row r="847" customFormat="false" ht="15.75" hidden="false" customHeight="false" outlineLevel="0" collapsed="false">
      <c r="A847" s="16"/>
      <c r="B847" s="8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row>
    <row r="848" customFormat="false" ht="15.75" hidden="false" customHeight="false" outlineLevel="0" collapsed="false">
      <c r="A848" s="16"/>
      <c r="B848" s="8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row>
    <row r="849" customFormat="false" ht="15.75" hidden="false" customHeight="false" outlineLevel="0" collapsed="false">
      <c r="A849" s="16"/>
      <c r="B849" s="8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row>
    <row r="850" customFormat="false" ht="15.75" hidden="false" customHeight="false" outlineLevel="0" collapsed="false">
      <c r="A850" s="16"/>
      <c r="B850" s="8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row>
    <row r="851" customFormat="false" ht="15.75" hidden="false" customHeight="false" outlineLevel="0" collapsed="false">
      <c r="A851" s="16"/>
      <c r="B851" s="8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row>
    <row r="852" customFormat="false" ht="15.75" hidden="false" customHeight="false" outlineLevel="0" collapsed="false">
      <c r="A852" s="16"/>
      <c r="B852" s="8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row>
    <row r="853" customFormat="false" ht="15.75" hidden="false" customHeight="false" outlineLevel="0" collapsed="false">
      <c r="A853" s="16"/>
      <c r="B853" s="8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row>
    <row r="854" customFormat="false" ht="15.75" hidden="false" customHeight="false" outlineLevel="0" collapsed="false">
      <c r="A854" s="16"/>
      <c r="B854" s="8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row>
    <row r="855" customFormat="false" ht="15.75" hidden="false" customHeight="false" outlineLevel="0" collapsed="false">
      <c r="A855" s="16"/>
      <c r="B855" s="8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row>
    <row r="856" customFormat="false" ht="15.75" hidden="false" customHeight="false" outlineLevel="0" collapsed="false">
      <c r="A856" s="16"/>
      <c r="B856" s="8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row>
    <row r="857" customFormat="false" ht="15.75" hidden="false" customHeight="false" outlineLevel="0" collapsed="false">
      <c r="A857" s="16"/>
      <c r="B857" s="8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row>
    <row r="858" customFormat="false" ht="15.75" hidden="false" customHeight="false" outlineLevel="0" collapsed="false">
      <c r="A858" s="16"/>
      <c r="B858" s="8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row>
    <row r="859" customFormat="false" ht="15.75" hidden="false" customHeight="false" outlineLevel="0" collapsed="false">
      <c r="A859" s="16"/>
      <c r="B859" s="8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row>
    <row r="860" customFormat="false" ht="15.75" hidden="false" customHeight="false" outlineLevel="0" collapsed="false">
      <c r="A860" s="16"/>
      <c r="B860" s="8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row>
    <row r="861" customFormat="false" ht="15.75" hidden="false" customHeight="false" outlineLevel="0" collapsed="false">
      <c r="A861" s="16"/>
      <c r="B861" s="8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row>
    <row r="862" customFormat="false" ht="15.75" hidden="false" customHeight="false" outlineLevel="0" collapsed="false">
      <c r="A862" s="16"/>
      <c r="B862" s="8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row>
    <row r="863" customFormat="false" ht="15.75" hidden="false" customHeight="false" outlineLevel="0" collapsed="false">
      <c r="A863" s="16"/>
      <c r="B863" s="8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row>
    <row r="864" customFormat="false" ht="15.75" hidden="false" customHeight="false" outlineLevel="0" collapsed="false">
      <c r="A864" s="16"/>
      <c r="B864" s="8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row>
    <row r="865" customFormat="false" ht="15.75" hidden="false" customHeight="false" outlineLevel="0" collapsed="false">
      <c r="A865" s="16"/>
      <c r="B865" s="8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row>
    <row r="866" customFormat="false" ht="15.75" hidden="false" customHeight="false" outlineLevel="0" collapsed="false">
      <c r="A866" s="16"/>
      <c r="B866" s="8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row>
    <row r="867" customFormat="false" ht="15.75" hidden="false" customHeight="false" outlineLevel="0" collapsed="false">
      <c r="A867" s="16"/>
      <c r="B867" s="8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row>
    <row r="868" customFormat="false" ht="15.75" hidden="false" customHeight="false" outlineLevel="0" collapsed="false">
      <c r="A868" s="16"/>
      <c r="B868" s="8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row>
    <row r="869" customFormat="false" ht="15.75" hidden="false" customHeight="false" outlineLevel="0" collapsed="false">
      <c r="A869" s="16"/>
      <c r="B869" s="8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row>
    <row r="870" customFormat="false" ht="15.75" hidden="false" customHeight="false" outlineLevel="0" collapsed="false">
      <c r="A870" s="16"/>
      <c r="B870" s="8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row>
    <row r="871" customFormat="false" ht="15.75" hidden="false" customHeight="false" outlineLevel="0" collapsed="false">
      <c r="A871" s="16"/>
      <c r="B871" s="8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row>
    <row r="872" customFormat="false" ht="15.75" hidden="false" customHeight="false" outlineLevel="0" collapsed="false">
      <c r="A872" s="16"/>
      <c r="B872" s="8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row>
    <row r="873" customFormat="false" ht="15.75" hidden="false" customHeight="false" outlineLevel="0" collapsed="false">
      <c r="A873" s="16"/>
      <c r="B873" s="8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row>
    <row r="874" customFormat="false" ht="15.75" hidden="false" customHeight="false" outlineLevel="0" collapsed="false">
      <c r="A874" s="16"/>
      <c r="B874" s="8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row>
    <row r="875" customFormat="false" ht="15.75" hidden="false" customHeight="false" outlineLevel="0" collapsed="false">
      <c r="A875" s="16"/>
      <c r="B875" s="8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row>
    <row r="876" customFormat="false" ht="15.75" hidden="false" customHeight="false" outlineLevel="0" collapsed="false">
      <c r="A876" s="16"/>
      <c r="B876" s="8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row>
    <row r="877" customFormat="false" ht="15.75" hidden="false" customHeight="false" outlineLevel="0" collapsed="false">
      <c r="A877" s="16"/>
      <c r="B877" s="8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row>
    <row r="878" customFormat="false" ht="15.75" hidden="false" customHeight="false" outlineLevel="0" collapsed="false">
      <c r="A878" s="16"/>
      <c r="B878" s="8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row>
    <row r="879" customFormat="false" ht="15.75" hidden="false" customHeight="false" outlineLevel="0" collapsed="false">
      <c r="A879" s="16"/>
      <c r="B879" s="8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row>
    <row r="880" customFormat="false" ht="15.75" hidden="false" customHeight="false" outlineLevel="0" collapsed="false">
      <c r="A880" s="16"/>
      <c r="B880" s="8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row>
    <row r="881" customFormat="false" ht="15.75" hidden="false" customHeight="false" outlineLevel="0" collapsed="false">
      <c r="A881" s="16"/>
      <c r="B881" s="8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row>
    <row r="882" customFormat="false" ht="15.75" hidden="false" customHeight="false" outlineLevel="0" collapsed="false">
      <c r="A882" s="16"/>
      <c r="B882" s="8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row>
    <row r="883" customFormat="false" ht="15.75" hidden="false" customHeight="false" outlineLevel="0" collapsed="false">
      <c r="A883" s="16"/>
      <c r="B883" s="8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row>
    <row r="884" customFormat="false" ht="15.75" hidden="false" customHeight="false" outlineLevel="0" collapsed="false">
      <c r="A884" s="16"/>
      <c r="B884" s="8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row>
    <row r="885" customFormat="false" ht="15.75" hidden="false" customHeight="false" outlineLevel="0" collapsed="false">
      <c r="A885" s="16"/>
      <c r="B885" s="8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row>
    <row r="886" customFormat="false" ht="15.75" hidden="false" customHeight="false" outlineLevel="0" collapsed="false">
      <c r="A886" s="16"/>
      <c r="B886" s="8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row>
    <row r="887" customFormat="false" ht="15.75" hidden="false" customHeight="false" outlineLevel="0" collapsed="false">
      <c r="A887" s="16"/>
      <c r="B887" s="8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row>
    <row r="888" customFormat="false" ht="15.75" hidden="false" customHeight="false" outlineLevel="0" collapsed="false">
      <c r="A888" s="16"/>
      <c r="B888" s="8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row>
    <row r="889" customFormat="false" ht="15.75" hidden="false" customHeight="false" outlineLevel="0" collapsed="false">
      <c r="A889" s="16"/>
      <c r="B889" s="8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row>
    <row r="890" customFormat="false" ht="15.75" hidden="false" customHeight="false" outlineLevel="0" collapsed="false">
      <c r="A890" s="16"/>
      <c r="B890" s="8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row>
    <row r="891" customFormat="false" ht="15.75" hidden="false" customHeight="false" outlineLevel="0" collapsed="false">
      <c r="A891" s="16"/>
      <c r="B891" s="8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row>
    <row r="892" customFormat="false" ht="15.75" hidden="false" customHeight="false" outlineLevel="0" collapsed="false">
      <c r="A892" s="16"/>
      <c r="B892" s="8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row>
    <row r="893" customFormat="false" ht="15.75" hidden="false" customHeight="false" outlineLevel="0" collapsed="false">
      <c r="A893" s="16"/>
      <c r="B893" s="8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row>
    <row r="894" customFormat="false" ht="15.75" hidden="false" customHeight="false" outlineLevel="0" collapsed="false">
      <c r="A894" s="16"/>
      <c r="B894" s="8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row>
    <row r="895" customFormat="false" ht="15.75" hidden="false" customHeight="false" outlineLevel="0" collapsed="false">
      <c r="A895" s="16"/>
      <c r="B895" s="8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row>
    <row r="896" customFormat="false" ht="15.75" hidden="false" customHeight="false" outlineLevel="0" collapsed="false">
      <c r="A896" s="16"/>
      <c r="B896" s="8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row>
    <row r="897" customFormat="false" ht="15.75" hidden="false" customHeight="false" outlineLevel="0" collapsed="false">
      <c r="A897" s="16"/>
      <c r="B897" s="8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row>
    <row r="898" customFormat="false" ht="15.75" hidden="false" customHeight="false" outlineLevel="0" collapsed="false">
      <c r="A898" s="16"/>
      <c r="B898" s="8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row>
    <row r="899" customFormat="false" ht="15.75" hidden="false" customHeight="false" outlineLevel="0" collapsed="false">
      <c r="A899" s="16"/>
      <c r="B899" s="8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row>
    <row r="900" customFormat="false" ht="15.75" hidden="false" customHeight="false" outlineLevel="0" collapsed="false">
      <c r="A900" s="16"/>
      <c r="B900" s="8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row>
    <row r="901" customFormat="false" ht="15.75" hidden="false" customHeight="false" outlineLevel="0" collapsed="false">
      <c r="A901" s="16"/>
      <c r="B901" s="8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row>
    <row r="902" customFormat="false" ht="15.75" hidden="false" customHeight="false" outlineLevel="0" collapsed="false">
      <c r="A902" s="16"/>
      <c r="B902" s="8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row>
    <row r="903" customFormat="false" ht="15.75" hidden="false" customHeight="false" outlineLevel="0" collapsed="false">
      <c r="A903" s="16"/>
      <c r="B903" s="8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row>
    <row r="904" customFormat="false" ht="15.75" hidden="false" customHeight="false" outlineLevel="0" collapsed="false">
      <c r="A904" s="16"/>
      <c r="B904" s="8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row>
    <row r="905" customFormat="false" ht="15.75" hidden="false" customHeight="false" outlineLevel="0" collapsed="false">
      <c r="A905" s="16"/>
      <c r="B905" s="8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row>
    <row r="906" customFormat="false" ht="15.75" hidden="false" customHeight="false" outlineLevel="0" collapsed="false">
      <c r="A906" s="16"/>
      <c r="B906" s="8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row>
    <row r="907" customFormat="false" ht="15.75" hidden="false" customHeight="false" outlineLevel="0" collapsed="false">
      <c r="A907" s="16"/>
      <c r="B907" s="8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row>
    <row r="908" customFormat="false" ht="15.75" hidden="false" customHeight="false" outlineLevel="0" collapsed="false">
      <c r="A908" s="16"/>
      <c r="B908" s="8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row>
    <row r="909" customFormat="false" ht="15.75" hidden="false" customHeight="false" outlineLevel="0" collapsed="false">
      <c r="A909" s="16"/>
      <c r="B909" s="8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row>
    <row r="910" customFormat="false" ht="15.75" hidden="false" customHeight="false" outlineLevel="0" collapsed="false">
      <c r="A910" s="16"/>
      <c r="B910" s="8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row>
    <row r="911" customFormat="false" ht="15.75" hidden="false" customHeight="false" outlineLevel="0" collapsed="false">
      <c r="A911" s="16"/>
      <c r="B911" s="8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row>
    <row r="912" customFormat="false" ht="15.75" hidden="false" customHeight="false" outlineLevel="0" collapsed="false">
      <c r="A912" s="16"/>
      <c r="B912" s="8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row>
    <row r="913" customFormat="false" ht="15.75" hidden="false" customHeight="false" outlineLevel="0" collapsed="false">
      <c r="A913" s="16"/>
      <c r="B913" s="8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row>
    <row r="914" customFormat="false" ht="15.75" hidden="false" customHeight="false" outlineLevel="0" collapsed="false">
      <c r="A914" s="16"/>
      <c r="B914" s="8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row>
    <row r="915" customFormat="false" ht="15.75" hidden="false" customHeight="false" outlineLevel="0" collapsed="false">
      <c r="A915" s="16"/>
      <c r="B915" s="8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row>
    <row r="916" customFormat="false" ht="15.75" hidden="false" customHeight="false" outlineLevel="0" collapsed="false">
      <c r="A916" s="16"/>
      <c r="B916" s="8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row>
    <row r="917" customFormat="false" ht="15.75" hidden="false" customHeight="false" outlineLevel="0" collapsed="false">
      <c r="A917" s="16"/>
      <c r="B917" s="8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row>
    <row r="918" customFormat="false" ht="15.75" hidden="false" customHeight="false" outlineLevel="0" collapsed="false">
      <c r="A918" s="16"/>
      <c r="B918" s="8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row>
    <row r="919" customFormat="false" ht="15.75" hidden="false" customHeight="false" outlineLevel="0" collapsed="false">
      <c r="A919" s="16"/>
      <c r="B919" s="8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row>
    <row r="920" customFormat="false" ht="15.75" hidden="false" customHeight="false" outlineLevel="0" collapsed="false">
      <c r="A920" s="16"/>
      <c r="B920" s="8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row>
    <row r="921" customFormat="false" ht="15.75" hidden="false" customHeight="false" outlineLevel="0" collapsed="false">
      <c r="A921" s="16"/>
      <c r="B921" s="8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row>
    <row r="922" customFormat="false" ht="15.75" hidden="false" customHeight="false" outlineLevel="0" collapsed="false">
      <c r="A922" s="16"/>
      <c r="B922" s="8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row>
    <row r="923" customFormat="false" ht="15.75" hidden="false" customHeight="false" outlineLevel="0" collapsed="false">
      <c r="A923" s="16"/>
      <c r="B923" s="8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row>
    <row r="924" customFormat="false" ht="15.75" hidden="false" customHeight="false" outlineLevel="0" collapsed="false">
      <c r="A924" s="16"/>
      <c r="B924" s="8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row>
    <row r="925" customFormat="false" ht="15.75" hidden="false" customHeight="false" outlineLevel="0" collapsed="false">
      <c r="A925" s="16"/>
      <c r="B925" s="8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row>
    <row r="926" customFormat="false" ht="15.75" hidden="false" customHeight="false" outlineLevel="0" collapsed="false">
      <c r="A926" s="16"/>
      <c r="B926" s="8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row>
    <row r="927" customFormat="false" ht="15.75" hidden="false" customHeight="false" outlineLevel="0" collapsed="false">
      <c r="A927" s="16"/>
      <c r="B927" s="8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row>
    <row r="928" customFormat="false" ht="15.75" hidden="false" customHeight="false" outlineLevel="0" collapsed="false">
      <c r="A928" s="16"/>
      <c r="B928" s="8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row>
    <row r="929" customFormat="false" ht="15.75" hidden="false" customHeight="false" outlineLevel="0" collapsed="false">
      <c r="A929" s="16"/>
      <c r="B929" s="8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row>
    <row r="930" customFormat="false" ht="15.75" hidden="false" customHeight="false" outlineLevel="0" collapsed="false">
      <c r="A930" s="16"/>
      <c r="B930" s="8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row>
    <row r="931" customFormat="false" ht="15.75" hidden="false" customHeight="false" outlineLevel="0" collapsed="false">
      <c r="A931" s="16"/>
      <c r="B931" s="8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row>
    <row r="932" customFormat="false" ht="15.75" hidden="false" customHeight="false" outlineLevel="0" collapsed="false">
      <c r="A932" s="16"/>
      <c r="B932" s="8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row>
    <row r="933" customFormat="false" ht="15.75" hidden="false" customHeight="false" outlineLevel="0" collapsed="false">
      <c r="A933" s="16"/>
      <c r="B933" s="8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row>
    <row r="934" customFormat="false" ht="15.75" hidden="false" customHeight="false" outlineLevel="0" collapsed="false">
      <c r="A934" s="16"/>
      <c r="B934" s="8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row>
    <row r="935" customFormat="false" ht="15.75" hidden="false" customHeight="false" outlineLevel="0" collapsed="false">
      <c r="A935" s="16"/>
      <c r="B935" s="8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row>
    <row r="936" customFormat="false" ht="15.75" hidden="false" customHeight="false" outlineLevel="0" collapsed="false">
      <c r="A936" s="16"/>
      <c r="B936" s="8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row>
    <row r="937" customFormat="false" ht="15.75" hidden="false" customHeight="false" outlineLevel="0" collapsed="false">
      <c r="A937" s="16"/>
      <c r="B937" s="8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row>
    <row r="938" customFormat="false" ht="15.75" hidden="false" customHeight="false" outlineLevel="0" collapsed="false">
      <c r="A938" s="16"/>
      <c r="B938" s="8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row>
    <row r="939" customFormat="false" ht="15.75" hidden="false" customHeight="false" outlineLevel="0" collapsed="false">
      <c r="A939" s="16"/>
      <c r="B939" s="8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row>
    <row r="940" customFormat="false" ht="15.75" hidden="false" customHeight="false" outlineLevel="0" collapsed="false">
      <c r="A940" s="16"/>
      <c r="B940" s="8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row>
    <row r="941" customFormat="false" ht="15.75" hidden="false" customHeight="false" outlineLevel="0" collapsed="false">
      <c r="A941" s="16"/>
      <c r="B941" s="8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row>
    <row r="942" customFormat="false" ht="15.75" hidden="false" customHeight="false" outlineLevel="0" collapsed="false">
      <c r="A942" s="16"/>
      <c r="B942" s="8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row>
    <row r="943" customFormat="false" ht="15.75" hidden="false" customHeight="false" outlineLevel="0" collapsed="false">
      <c r="A943" s="16"/>
      <c r="B943" s="8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row>
    <row r="944" customFormat="false" ht="15.75" hidden="false" customHeight="false" outlineLevel="0" collapsed="false">
      <c r="A944" s="16"/>
      <c r="B944" s="8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row>
    <row r="945" customFormat="false" ht="15.75" hidden="false" customHeight="false" outlineLevel="0" collapsed="false">
      <c r="A945" s="16"/>
      <c r="B945" s="8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row>
    <row r="946" customFormat="false" ht="15.75" hidden="false" customHeight="false" outlineLevel="0" collapsed="false">
      <c r="A946" s="16"/>
      <c r="B946" s="8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row>
    <row r="947" customFormat="false" ht="15.75" hidden="false" customHeight="false" outlineLevel="0" collapsed="false">
      <c r="A947" s="16"/>
      <c r="B947" s="8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row>
    <row r="948" customFormat="false" ht="15.75" hidden="false" customHeight="false" outlineLevel="0" collapsed="false">
      <c r="A948" s="16"/>
      <c r="B948" s="8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row>
    <row r="949" customFormat="false" ht="15.75" hidden="false" customHeight="false" outlineLevel="0" collapsed="false">
      <c r="A949" s="16"/>
      <c r="B949" s="8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row>
    <row r="950" customFormat="false" ht="15.75" hidden="false" customHeight="false" outlineLevel="0" collapsed="false">
      <c r="A950" s="16"/>
      <c r="B950" s="8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row>
    <row r="951" customFormat="false" ht="15.75" hidden="false" customHeight="false" outlineLevel="0" collapsed="false">
      <c r="A951" s="16"/>
      <c r="B951" s="8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row>
    <row r="952" customFormat="false" ht="15.75" hidden="false" customHeight="false" outlineLevel="0" collapsed="false">
      <c r="A952" s="16"/>
      <c r="B952" s="8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row>
    <row r="953" customFormat="false" ht="15.75" hidden="false" customHeight="false" outlineLevel="0" collapsed="false">
      <c r="A953" s="16"/>
      <c r="B953" s="8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row>
    <row r="954" customFormat="false" ht="15.75" hidden="false" customHeight="false" outlineLevel="0" collapsed="false">
      <c r="A954" s="16"/>
      <c r="B954" s="8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row>
    <row r="955" customFormat="false" ht="15.75" hidden="false" customHeight="false" outlineLevel="0" collapsed="false">
      <c r="A955" s="16"/>
      <c r="B955" s="8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row>
    <row r="956" customFormat="false" ht="15.75" hidden="false" customHeight="false" outlineLevel="0" collapsed="false">
      <c r="A956" s="16"/>
      <c r="B956" s="8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row>
    <row r="957" customFormat="false" ht="15.75" hidden="false" customHeight="false" outlineLevel="0" collapsed="false">
      <c r="A957" s="16"/>
      <c r="B957" s="8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row>
    <row r="958" customFormat="false" ht="15.75" hidden="false" customHeight="false" outlineLevel="0" collapsed="false">
      <c r="A958" s="16"/>
      <c r="B958" s="8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row>
    <row r="959" customFormat="false" ht="15.75" hidden="false" customHeight="false" outlineLevel="0" collapsed="false">
      <c r="A959" s="16"/>
      <c r="B959" s="8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row>
    <row r="960" customFormat="false" ht="15.75" hidden="false" customHeight="false" outlineLevel="0" collapsed="false">
      <c r="A960" s="16"/>
      <c r="B960" s="8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row>
    <row r="961" customFormat="false" ht="15.75" hidden="false" customHeight="false" outlineLevel="0" collapsed="false">
      <c r="A961" s="16"/>
      <c r="B961" s="8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row>
    <row r="962" customFormat="false" ht="15.75" hidden="false" customHeight="false" outlineLevel="0" collapsed="false">
      <c r="A962" s="16"/>
      <c r="B962" s="8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row>
    <row r="963" customFormat="false" ht="15.75" hidden="false" customHeight="false" outlineLevel="0" collapsed="false">
      <c r="A963" s="16"/>
      <c r="B963" s="8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row>
    <row r="964" customFormat="false" ht="15.75" hidden="false" customHeight="false" outlineLevel="0" collapsed="false">
      <c r="A964" s="16"/>
      <c r="B964" s="8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row>
    <row r="965" customFormat="false" ht="15.75" hidden="false" customHeight="false" outlineLevel="0" collapsed="false">
      <c r="A965" s="16"/>
      <c r="B965" s="8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row>
    <row r="966" customFormat="false" ht="15.75" hidden="false" customHeight="false" outlineLevel="0" collapsed="false">
      <c r="A966" s="16"/>
      <c r="B966" s="8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row>
    <row r="967" customFormat="false" ht="15.75" hidden="false" customHeight="false" outlineLevel="0" collapsed="false">
      <c r="A967" s="16"/>
      <c r="B967" s="8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row>
    <row r="968" customFormat="false" ht="15.75" hidden="false" customHeight="false" outlineLevel="0" collapsed="false">
      <c r="A968" s="16"/>
      <c r="B968" s="8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row>
    <row r="969" customFormat="false" ht="15.75" hidden="false" customHeight="false" outlineLevel="0" collapsed="false">
      <c r="A969" s="16"/>
      <c r="B969" s="8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row>
    <row r="970" customFormat="false" ht="15.75" hidden="false" customHeight="false" outlineLevel="0" collapsed="false">
      <c r="A970" s="16"/>
      <c r="B970" s="8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row>
    <row r="971" customFormat="false" ht="15.75" hidden="false" customHeight="false" outlineLevel="0" collapsed="false">
      <c r="A971" s="16"/>
      <c r="B971" s="8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row>
    <row r="972" customFormat="false" ht="15.75" hidden="false" customHeight="false" outlineLevel="0" collapsed="false">
      <c r="A972" s="16"/>
      <c r="B972" s="8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row>
    <row r="973" customFormat="false" ht="15.75" hidden="false" customHeight="false" outlineLevel="0" collapsed="false">
      <c r="A973" s="16"/>
      <c r="B973" s="8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row>
    <row r="974" customFormat="false" ht="15.75" hidden="false" customHeight="false" outlineLevel="0" collapsed="false">
      <c r="A974" s="16"/>
      <c r="B974" s="8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row>
    <row r="975" customFormat="false" ht="15.75" hidden="false" customHeight="false" outlineLevel="0" collapsed="false">
      <c r="A975" s="16"/>
      <c r="B975" s="8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row>
    <row r="976" customFormat="false" ht="15.75" hidden="false" customHeight="false" outlineLevel="0" collapsed="false">
      <c r="A976" s="16"/>
      <c r="B976" s="8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row>
    <row r="977" customFormat="false" ht="15.75" hidden="false" customHeight="false" outlineLevel="0" collapsed="false">
      <c r="A977" s="16"/>
      <c r="B977" s="8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row>
    <row r="978" customFormat="false" ht="15.75" hidden="false" customHeight="false" outlineLevel="0" collapsed="false">
      <c r="A978" s="16"/>
      <c r="B978" s="8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row>
    <row r="979" customFormat="false" ht="15.75" hidden="false" customHeight="false" outlineLevel="0" collapsed="false">
      <c r="A979" s="16"/>
      <c r="B979" s="8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row>
    <row r="980" customFormat="false" ht="15.75" hidden="false" customHeight="false" outlineLevel="0" collapsed="false">
      <c r="A980" s="16"/>
      <c r="B980" s="8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row>
    <row r="981" customFormat="false" ht="15.75" hidden="false" customHeight="false" outlineLevel="0" collapsed="false">
      <c r="A981" s="16"/>
      <c r="B981" s="8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row>
    <row r="982" customFormat="false" ht="15.75" hidden="false" customHeight="false" outlineLevel="0" collapsed="false">
      <c r="A982" s="16"/>
      <c r="B982" s="8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row>
    <row r="983" customFormat="false" ht="15.75" hidden="false" customHeight="false" outlineLevel="0" collapsed="false">
      <c r="A983" s="16"/>
      <c r="B983" s="8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row>
    <row r="984" customFormat="false" ht="15.75" hidden="false" customHeight="false" outlineLevel="0" collapsed="false">
      <c r="A984" s="16"/>
      <c r="B984" s="8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row>
    <row r="985" customFormat="false" ht="15.75" hidden="false" customHeight="false" outlineLevel="0" collapsed="false">
      <c r="A985" s="16"/>
      <c r="B985" s="8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row>
    <row r="986" customFormat="false" ht="15.75" hidden="false" customHeight="false" outlineLevel="0" collapsed="false">
      <c r="A986" s="16"/>
      <c r="B986" s="8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row>
    <row r="987" customFormat="false" ht="15.75" hidden="false" customHeight="false" outlineLevel="0" collapsed="false">
      <c r="A987" s="16"/>
      <c r="B987" s="8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row>
    <row r="988" customFormat="false" ht="15.75" hidden="false" customHeight="false" outlineLevel="0" collapsed="false">
      <c r="A988" s="16"/>
      <c r="B988" s="8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row>
    <row r="989" customFormat="false" ht="15.75" hidden="false" customHeight="false" outlineLevel="0" collapsed="false">
      <c r="A989" s="16"/>
      <c r="B989" s="8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row>
    <row r="990" customFormat="false" ht="15.75" hidden="false" customHeight="false" outlineLevel="0" collapsed="false">
      <c r="A990" s="16"/>
      <c r="B990" s="8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row>
    <row r="991" customFormat="false" ht="15.75" hidden="false" customHeight="false" outlineLevel="0" collapsed="false">
      <c r="A991" s="16"/>
      <c r="B991" s="8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row>
    <row r="992" customFormat="false" ht="15.75" hidden="false" customHeight="false" outlineLevel="0" collapsed="false">
      <c r="A992" s="16"/>
      <c r="B992" s="8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row>
    <row r="993" customFormat="false" ht="15.75" hidden="false" customHeight="false" outlineLevel="0" collapsed="false">
      <c r="A993" s="16"/>
      <c r="B993" s="8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row>
    <row r="994" customFormat="false" ht="15.75" hidden="false" customHeight="false" outlineLevel="0" collapsed="false">
      <c r="A994" s="16"/>
      <c r="B994" s="8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row>
    <row r="995" customFormat="false" ht="15.75" hidden="false" customHeight="false" outlineLevel="0" collapsed="false">
      <c r="A995" s="16"/>
      <c r="B995" s="8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row>
    <row r="996" customFormat="false" ht="15.75" hidden="false" customHeight="false" outlineLevel="0" collapsed="false">
      <c r="A996" s="16"/>
      <c r="B996" s="8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row>
    <row r="997" customFormat="false" ht="15.75" hidden="false" customHeight="false" outlineLevel="0" collapsed="false">
      <c r="A997" s="16"/>
      <c r="B997" s="8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row>
    <row r="998" customFormat="false" ht="15.75" hidden="false" customHeight="false" outlineLevel="0" collapsed="false">
      <c r="A998" s="16"/>
      <c r="B998" s="8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row>
    <row r="999" customFormat="false" ht="15.75" hidden="false" customHeight="false" outlineLevel="0" collapsed="false">
      <c r="A999" s="16"/>
      <c r="B999" s="8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row>
    <row r="1000" customFormat="false" ht="15.75" hidden="false" customHeight="false" outlineLevel="0" collapsed="false">
      <c r="A1000" s="16"/>
      <c r="B1000" s="8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row>
    <row r="1001" customFormat="false" ht="15.75" hidden="false" customHeight="false" outlineLevel="0" collapsed="false">
      <c r="A1001" s="16"/>
      <c r="B1001" s="84"/>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row>
    <row r="1002" customFormat="false" ht="15.75" hidden="false" customHeight="false" outlineLevel="0" collapsed="false">
      <c r="A1002" s="16"/>
      <c r="B1002" s="84"/>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row>
    <row r="1003" customFormat="false" ht="15.75" hidden="false" customHeight="false" outlineLevel="0" collapsed="false">
      <c r="A1003" s="16"/>
      <c r="B1003" s="84"/>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row>
    <row r="1004" customFormat="false" ht="15.75" hidden="false" customHeight="false" outlineLevel="0" collapsed="false">
      <c r="A1004" s="16"/>
      <c r="B1004" s="84"/>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row>
    <row r="1005" customFormat="false" ht="15.75" hidden="false" customHeight="false" outlineLevel="0" collapsed="false">
      <c r="A1005" s="16"/>
      <c r="B1005" s="84"/>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row>
    <row r="1006" customFormat="false" ht="15.75" hidden="false" customHeight="false" outlineLevel="0" collapsed="false">
      <c r="A1006" s="16"/>
      <c r="B1006" s="84"/>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row>
    <row r="1007" customFormat="false" ht="15.75" hidden="false" customHeight="false" outlineLevel="0" collapsed="false">
      <c r="A1007" s="16"/>
      <c r="B1007" s="84"/>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row>
    <row r="1008" customFormat="false" ht="15.75" hidden="false" customHeight="false" outlineLevel="0" collapsed="false">
      <c r="A1008" s="16"/>
      <c r="B1008" s="84"/>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row>
    <row r="1009" customFormat="false" ht="15.75" hidden="false" customHeight="false" outlineLevel="0" collapsed="false">
      <c r="A1009" s="16"/>
      <c r="B1009" s="84"/>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row>
    <row r="1010" customFormat="false" ht="15.75" hidden="false" customHeight="false" outlineLevel="0" collapsed="false">
      <c r="A1010" s="16"/>
      <c r="B1010" s="84"/>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row>
    <row r="1011" customFormat="false" ht="15.75" hidden="false" customHeight="false" outlineLevel="0" collapsed="false">
      <c r="A1011" s="16"/>
      <c r="B1011" s="84"/>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row>
    <row r="1012" customFormat="false" ht="15.75" hidden="false" customHeight="false" outlineLevel="0" collapsed="false">
      <c r="A1012" s="16"/>
      <c r="B1012" s="84"/>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row>
    <row r="1013" customFormat="false" ht="15.75" hidden="false" customHeight="false" outlineLevel="0" collapsed="false">
      <c r="A1013" s="16"/>
      <c r="B1013" s="84"/>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row>
    <row r="1014" customFormat="false" ht="15.75" hidden="false" customHeight="false" outlineLevel="0" collapsed="false">
      <c r="A1014" s="16"/>
      <c r="B1014" s="84"/>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row>
    <row r="1015" customFormat="false" ht="15.75" hidden="false" customHeight="false" outlineLevel="0" collapsed="false">
      <c r="A1015" s="16"/>
      <c r="B1015" s="84"/>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row>
    <row r="1016" customFormat="false" ht="15.75" hidden="false" customHeight="false" outlineLevel="0" collapsed="false">
      <c r="A1016" s="16"/>
      <c r="B1016" s="84"/>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row>
    <row r="1017" customFormat="false" ht="15.75" hidden="false" customHeight="false" outlineLevel="0" collapsed="false">
      <c r="A1017" s="16"/>
      <c r="B1017" s="84"/>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row>
    <row r="1018" customFormat="false" ht="15.75" hidden="false" customHeight="false" outlineLevel="0" collapsed="false">
      <c r="A1018" s="16"/>
      <c r="B1018" s="84"/>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row>
    <row r="1019" customFormat="false" ht="15.75" hidden="false" customHeight="false" outlineLevel="0" collapsed="false">
      <c r="A1019" s="16"/>
      <c r="B1019" s="84"/>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row>
    <row r="1020" customFormat="false" ht="15.75" hidden="false" customHeight="false" outlineLevel="0" collapsed="false">
      <c r="A1020" s="16"/>
      <c r="B1020" s="84"/>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row>
    <row r="1021" customFormat="false" ht="15.75" hidden="false" customHeight="false" outlineLevel="0" collapsed="false">
      <c r="A1021" s="16"/>
      <c r="B1021" s="84"/>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row>
    <row r="1022" customFormat="false" ht="15.75" hidden="false" customHeight="false" outlineLevel="0" collapsed="false">
      <c r="A1022" s="16"/>
      <c r="B1022" s="84"/>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row>
    <row r="1023" customFormat="false" ht="15.75" hidden="false" customHeight="false" outlineLevel="0" collapsed="false">
      <c r="A1023" s="16"/>
      <c r="B1023" s="84"/>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row>
    <row r="1024" customFormat="false" ht="15.75" hidden="false" customHeight="false" outlineLevel="0" collapsed="false">
      <c r="A1024" s="16"/>
      <c r="B1024" s="84"/>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row>
    <row r="1025" customFormat="false" ht="15.75" hidden="false" customHeight="false" outlineLevel="0" collapsed="false">
      <c r="A1025" s="16"/>
      <c r="B1025" s="84"/>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row>
    <row r="1026" customFormat="false" ht="15.75" hidden="false" customHeight="false" outlineLevel="0" collapsed="false">
      <c r="A1026" s="16"/>
      <c r="B1026" s="84"/>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row>
    <row r="1027" customFormat="false" ht="15.75" hidden="false" customHeight="false" outlineLevel="0" collapsed="false">
      <c r="A1027" s="16"/>
      <c r="B1027" s="84"/>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row>
    <row r="1028" customFormat="false" ht="15.75" hidden="false" customHeight="false" outlineLevel="0" collapsed="false">
      <c r="A1028" s="16"/>
      <c r="B1028" s="84"/>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row>
    <row r="1029" customFormat="false" ht="15.75" hidden="false" customHeight="false" outlineLevel="0" collapsed="false">
      <c r="A1029" s="16"/>
      <c r="B1029" s="84"/>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row>
    <row r="1030" customFormat="false" ht="15.75" hidden="false" customHeight="false" outlineLevel="0" collapsed="false">
      <c r="A1030" s="16"/>
      <c r="B1030" s="84"/>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row>
    <row r="1031" customFormat="false" ht="15.75" hidden="false" customHeight="false" outlineLevel="0" collapsed="false">
      <c r="A1031" s="16"/>
      <c r="B1031" s="84"/>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row>
    <row r="1032" customFormat="false" ht="15.75" hidden="false" customHeight="false" outlineLevel="0" collapsed="false">
      <c r="A1032" s="16"/>
      <c r="B1032" s="84"/>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row>
    <row r="1033" customFormat="false" ht="15.75" hidden="false" customHeight="false" outlineLevel="0" collapsed="false">
      <c r="A1033" s="16"/>
      <c r="B1033" s="84"/>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row>
    <row r="1034" customFormat="false" ht="15.75" hidden="false" customHeight="false" outlineLevel="0" collapsed="false">
      <c r="A1034" s="16"/>
      <c r="B1034" s="84"/>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row>
    <row r="1035" customFormat="false" ht="15.75" hidden="false" customHeight="false" outlineLevel="0" collapsed="false">
      <c r="A1035" s="16"/>
      <c r="B1035" s="84"/>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row>
    <row r="1036" customFormat="false" ht="15.75" hidden="false" customHeight="false" outlineLevel="0" collapsed="false">
      <c r="A1036" s="16"/>
      <c r="B1036" s="84"/>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row>
    <row r="1037" customFormat="false" ht="15.75" hidden="false" customHeight="false" outlineLevel="0" collapsed="false">
      <c r="A1037" s="16"/>
      <c r="B1037" s="84"/>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row>
    <row r="1038" customFormat="false" ht="15.75" hidden="false" customHeight="false" outlineLevel="0" collapsed="false">
      <c r="A1038" s="16"/>
      <c r="B1038" s="84"/>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row>
    <row r="1040" customFormat="false" ht="15.75" hidden="false" customHeight="false" outlineLevel="0" collapsed="false">
      <c r="A1040" s="13" t="s">
        <v>53</v>
      </c>
    </row>
  </sheetData>
  <mergeCells count="130">
    <mergeCell ref="A1:B1"/>
    <mergeCell ref="C1:G1"/>
    <mergeCell ref="H1:L1"/>
    <mergeCell ref="M1:Q1"/>
    <mergeCell ref="R1:V1"/>
    <mergeCell ref="A2:A14"/>
    <mergeCell ref="D2:G2"/>
    <mergeCell ref="I2:L2"/>
    <mergeCell ref="N2:Q2"/>
    <mergeCell ref="S2:V2"/>
    <mergeCell ref="D3:G3"/>
    <mergeCell ref="I3:L3"/>
    <mergeCell ref="N3:Q3"/>
    <mergeCell ref="S3:V3"/>
    <mergeCell ref="D4:G4"/>
    <mergeCell ref="I4:L4"/>
    <mergeCell ref="N4:Q4"/>
    <mergeCell ref="S4:V4"/>
    <mergeCell ref="B5:B14"/>
    <mergeCell ref="C5:L14"/>
    <mergeCell ref="N5:O5"/>
    <mergeCell ref="P5:Q5"/>
    <mergeCell ref="S5:T5"/>
    <mergeCell ref="U5:V5"/>
    <mergeCell ref="N6:O6"/>
    <mergeCell ref="P6:Q6"/>
    <mergeCell ref="S6:T6"/>
    <mergeCell ref="U6:V6"/>
    <mergeCell ref="N7:O7"/>
    <mergeCell ref="P7:Q7"/>
    <mergeCell ref="S7:T7"/>
    <mergeCell ref="U7:V7"/>
    <mergeCell ref="N8:O8"/>
    <mergeCell ref="P8:Q8"/>
    <mergeCell ref="S8:T8"/>
    <mergeCell ref="U8:V8"/>
    <mergeCell ref="N9:O9"/>
    <mergeCell ref="P9:Q9"/>
    <mergeCell ref="S9:T9"/>
    <mergeCell ref="U9:V9"/>
    <mergeCell ref="M10:Q14"/>
    <mergeCell ref="S10:T10"/>
    <mergeCell ref="U10:V10"/>
    <mergeCell ref="S11:T11"/>
    <mergeCell ref="U11:V11"/>
    <mergeCell ref="S12:T12"/>
    <mergeCell ref="U12:V12"/>
    <mergeCell ref="S13:T13"/>
    <mergeCell ref="U13:V13"/>
    <mergeCell ref="S14:T14"/>
    <mergeCell ref="U14:V14"/>
    <mergeCell ref="A15:L15"/>
    <mergeCell ref="N15:Q15"/>
    <mergeCell ref="S15:V15"/>
    <mergeCell ref="A16:C16"/>
    <mergeCell ref="A17:A38"/>
    <mergeCell ref="B17:B22"/>
    <mergeCell ref="C21:G22"/>
    <mergeCell ref="R22:V22"/>
    <mergeCell ref="B23:C23"/>
    <mergeCell ref="D23:E23"/>
    <mergeCell ref="I23:J23"/>
    <mergeCell ref="N23:O23"/>
    <mergeCell ref="S23:T23"/>
    <mergeCell ref="B24:C24"/>
    <mergeCell ref="B25:B27"/>
    <mergeCell ref="H27:V27"/>
    <mergeCell ref="B28:C28"/>
    <mergeCell ref="D28:E28"/>
    <mergeCell ref="I28:J28"/>
    <mergeCell ref="N28:O28"/>
    <mergeCell ref="S28:T28"/>
    <mergeCell ref="B29:C29"/>
    <mergeCell ref="B30:B38"/>
    <mergeCell ref="C35:G38"/>
    <mergeCell ref="H36:L38"/>
    <mergeCell ref="R36:V38"/>
    <mergeCell ref="B39:C39"/>
    <mergeCell ref="D39:E39"/>
    <mergeCell ref="I39:J39"/>
    <mergeCell ref="N39:O39"/>
    <mergeCell ref="S39:T39"/>
    <mergeCell ref="B40:C40"/>
    <mergeCell ref="A41:A46"/>
    <mergeCell ref="B41:B46"/>
    <mergeCell ref="C43:G46"/>
    <mergeCell ref="H44:L46"/>
    <mergeCell ref="B47:C47"/>
    <mergeCell ref="D47:E47"/>
    <mergeCell ref="I47:J47"/>
    <mergeCell ref="N47:O47"/>
    <mergeCell ref="S47:T47"/>
    <mergeCell ref="B48:C48"/>
    <mergeCell ref="A49:A70"/>
    <mergeCell ref="B49:B57"/>
    <mergeCell ref="C53:G57"/>
    <mergeCell ref="M54:V57"/>
    <mergeCell ref="B58:C58"/>
    <mergeCell ref="D58:E58"/>
    <mergeCell ref="I58:J58"/>
    <mergeCell ref="N58:O58"/>
    <mergeCell ref="S58:T58"/>
    <mergeCell ref="B59:C59"/>
    <mergeCell ref="B60:B64"/>
    <mergeCell ref="C62:G64"/>
    <mergeCell ref="H63:Q64"/>
    <mergeCell ref="R64:V64"/>
    <mergeCell ref="B65:C65"/>
    <mergeCell ref="D65:E65"/>
    <mergeCell ref="I65:J65"/>
    <mergeCell ref="N65:O65"/>
    <mergeCell ref="S65:T65"/>
    <mergeCell ref="B66:C66"/>
    <mergeCell ref="B67:B70"/>
    <mergeCell ref="C69:L70"/>
    <mergeCell ref="B71:C71"/>
    <mergeCell ref="D71:E71"/>
    <mergeCell ref="I71:J71"/>
    <mergeCell ref="N71:O71"/>
    <mergeCell ref="S71:T71"/>
    <mergeCell ref="B72:C72"/>
    <mergeCell ref="A73:A85"/>
    <mergeCell ref="B73:B85"/>
    <mergeCell ref="M81:Q82"/>
    <mergeCell ref="C83:Q85"/>
    <mergeCell ref="B86:C86"/>
    <mergeCell ref="D86:E86"/>
    <mergeCell ref="I86:J86"/>
    <mergeCell ref="N86:O86"/>
    <mergeCell ref="S86:T86"/>
  </mergeCells>
  <conditionalFormatting sqref="A15:V15 A39:V39 A47:M47 A71:V71 A86:V86 B23:V23 B28:V28 B58:V58 B65:V65 D17:G17 D26:G26 D61:G61 I17:L17 I26:L26 I35:L35 I61:L61 N17:Q17 N26:Q26 N35:Q35 N46:Q47 N61:Q61 R47 S12:V12 S17:V17 S26:V26 S35:V35 S46:V47 S61:V61">
    <cfRule type="containsText" priority="2" operator="containsText" aboveAverage="0" equalAverage="0" bottom="0" percent="0" rank="0" text="Error" dxfId="0">
      <formula>NOT(ISERROR(SEARCH("Error",A12)))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outlinePr summaryBelow="0"/>
    <pageSetUpPr fitToPage="false"/>
  </sheetPr>
  <dimension ref="A1:AQ104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9"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6.12"/>
    <col collapsed="false" customWidth="true" hidden="false" outlineLevel="0" max="2" min="2" style="1" width="19.52"/>
    <col collapsed="false" customWidth="true" hidden="false" outlineLevel="0" max="3" min="3" style="1" width="39.13"/>
    <col collapsed="false" customWidth="true" hidden="false" outlineLevel="0" max="7" min="4" style="1" width="6.25"/>
    <col collapsed="false" customWidth="true" hidden="false" outlineLevel="0" max="8" min="8" style="1" width="46.13"/>
    <col collapsed="false" customWidth="true" hidden="false" outlineLevel="0" max="9" min="9" style="1" width="6.25"/>
    <col collapsed="false" customWidth="true" hidden="false" outlineLevel="0" max="11" min="10" style="1" width="6.38"/>
    <col collapsed="false" customWidth="true" hidden="false" outlineLevel="0" max="12" min="12" style="1" width="5.88"/>
    <col collapsed="false" customWidth="true" hidden="false" outlineLevel="0" max="13" min="13" style="1" width="45.12"/>
    <col collapsed="false" customWidth="true" hidden="false" outlineLevel="0" max="17" min="14" style="1" width="6.25"/>
    <col collapsed="false" customWidth="true" hidden="false" outlineLevel="0" max="18" min="18" style="1" width="40.5"/>
    <col collapsed="false" customWidth="true" hidden="false" outlineLevel="0" max="22" min="19" style="1" width="6.25"/>
  </cols>
  <sheetData>
    <row r="1" customFormat="false" ht="27" hidden="false" customHeight="true" outlineLevel="0" collapsed="false">
      <c r="A1" s="14"/>
      <c r="B1" s="14"/>
      <c r="C1" s="15" t="s">
        <v>54</v>
      </c>
      <c r="D1" s="15"/>
      <c r="E1" s="15"/>
      <c r="F1" s="15"/>
      <c r="G1" s="15"/>
      <c r="H1" s="15" t="s">
        <v>55</v>
      </c>
      <c r="I1" s="15"/>
      <c r="J1" s="15"/>
      <c r="K1" s="15"/>
      <c r="L1" s="15"/>
      <c r="M1" s="15" t="s">
        <v>56</v>
      </c>
      <c r="N1" s="15"/>
      <c r="O1" s="15"/>
      <c r="P1" s="15"/>
      <c r="Q1" s="15"/>
      <c r="R1" s="15" t="s">
        <v>57</v>
      </c>
      <c r="S1" s="15"/>
      <c r="T1" s="15"/>
      <c r="U1" s="15"/>
      <c r="V1" s="15"/>
      <c r="W1" s="16"/>
      <c r="X1" s="16"/>
      <c r="Y1" s="16"/>
      <c r="Z1" s="16"/>
      <c r="AA1" s="16"/>
      <c r="AB1" s="16"/>
      <c r="AC1" s="16"/>
      <c r="AD1" s="16"/>
      <c r="AE1" s="16"/>
      <c r="AF1" s="16"/>
      <c r="AG1" s="16"/>
      <c r="AH1" s="16"/>
      <c r="AI1" s="16"/>
      <c r="AJ1" s="16"/>
      <c r="AK1" s="16"/>
      <c r="AL1" s="16"/>
      <c r="AM1" s="16"/>
      <c r="AN1" s="16"/>
      <c r="AO1" s="16"/>
      <c r="AP1" s="16"/>
      <c r="AQ1" s="16"/>
    </row>
    <row r="2" customFormat="false" ht="68.65" hidden="false" customHeight="true" outlineLevel="0" collapsed="false">
      <c r="A2" s="17" t="s">
        <v>58</v>
      </c>
      <c r="B2" s="18" t="s">
        <v>59</v>
      </c>
      <c r="C2" s="19" t="s">
        <v>60</v>
      </c>
      <c r="D2" s="20" t="s">
        <v>61</v>
      </c>
      <c r="E2" s="20"/>
      <c r="F2" s="20"/>
      <c r="G2" s="20"/>
      <c r="H2" s="19" t="s">
        <v>62</v>
      </c>
      <c r="I2" s="21"/>
      <c r="J2" s="21"/>
      <c r="K2" s="21"/>
      <c r="L2" s="21"/>
      <c r="M2" s="19" t="s">
        <v>63</v>
      </c>
      <c r="N2" s="21"/>
      <c r="O2" s="21"/>
      <c r="P2" s="21"/>
      <c r="Q2" s="21"/>
      <c r="R2" s="22" t="s">
        <v>64</v>
      </c>
      <c r="S2" s="23"/>
      <c r="T2" s="23"/>
      <c r="U2" s="23"/>
      <c r="V2" s="23"/>
      <c r="W2" s="16"/>
      <c r="X2" s="16"/>
      <c r="Y2" s="16"/>
      <c r="Z2" s="16"/>
      <c r="AA2" s="16"/>
      <c r="AB2" s="16"/>
      <c r="AC2" s="16"/>
      <c r="AD2" s="16"/>
      <c r="AE2" s="16"/>
      <c r="AF2" s="16"/>
      <c r="AG2" s="16"/>
      <c r="AH2" s="16"/>
      <c r="AI2" s="16"/>
      <c r="AJ2" s="16"/>
      <c r="AK2" s="16"/>
      <c r="AL2" s="16"/>
      <c r="AM2" s="16"/>
      <c r="AN2" s="16"/>
      <c r="AO2" s="16"/>
      <c r="AP2" s="16"/>
      <c r="AQ2" s="16"/>
    </row>
    <row r="3" customFormat="false" ht="41.75" hidden="false" customHeight="true" outlineLevel="0" collapsed="false">
      <c r="A3" s="17"/>
      <c r="B3" s="18" t="s">
        <v>65</v>
      </c>
      <c r="C3" s="19" t="s">
        <v>66</v>
      </c>
      <c r="D3" s="20" t="s">
        <v>67</v>
      </c>
      <c r="E3" s="20"/>
      <c r="F3" s="20"/>
      <c r="G3" s="20"/>
      <c r="H3" s="24" t="n">
        <v>43164</v>
      </c>
      <c r="I3" s="25"/>
      <c r="J3" s="25"/>
      <c r="K3" s="25"/>
      <c r="L3" s="25"/>
      <c r="M3" s="19" t="s">
        <v>68</v>
      </c>
      <c r="N3" s="21"/>
      <c r="O3" s="21"/>
      <c r="P3" s="21"/>
      <c r="Q3" s="21"/>
      <c r="R3" s="19" t="s">
        <v>69</v>
      </c>
      <c r="S3" s="21"/>
      <c r="T3" s="21"/>
      <c r="U3" s="21"/>
      <c r="V3" s="21"/>
      <c r="W3" s="16"/>
      <c r="X3" s="16"/>
      <c r="Y3" s="16"/>
      <c r="Z3" s="16"/>
      <c r="AA3" s="16"/>
      <c r="AB3" s="16"/>
      <c r="AC3" s="16"/>
      <c r="AD3" s="16"/>
      <c r="AE3" s="16"/>
      <c r="AF3" s="16"/>
      <c r="AG3" s="16"/>
      <c r="AH3" s="16"/>
      <c r="AI3" s="16"/>
      <c r="AJ3" s="16"/>
      <c r="AK3" s="16"/>
      <c r="AL3" s="16"/>
      <c r="AM3" s="16"/>
      <c r="AN3" s="16"/>
      <c r="AO3" s="16"/>
      <c r="AP3" s="16"/>
      <c r="AQ3" s="16"/>
    </row>
    <row r="4" customFormat="false" ht="135.75" hidden="false" customHeight="true" outlineLevel="0" collapsed="false">
      <c r="A4" s="17"/>
      <c r="B4" s="18" t="s">
        <v>70</v>
      </c>
      <c r="C4" s="26" t="s">
        <v>71</v>
      </c>
      <c r="D4" s="20" t="s">
        <v>72</v>
      </c>
      <c r="E4" s="20"/>
      <c r="F4" s="20"/>
      <c r="G4" s="20"/>
      <c r="H4" s="26" t="s">
        <v>73</v>
      </c>
      <c r="I4" s="27"/>
      <c r="J4" s="27"/>
      <c r="K4" s="27"/>
      <c r="L4" s="27"/>
      <c r="M4" s="26" t="s">
        <v>74</v>
      </c>
      <c r="N4" s="27"/>
      <c r="O4" s="27"/>
      <c r="P4" s="27"/>
      <c r="Q4" s="27"/>
      <c r="R4" s="26" t="s">
        <v>75</v>
      </c>
      <c r="S4" s="27"/>
      <c r="T4" s="27"/>
      <c r="U4" s="27"/>
      <c r="V4" s="27"/>
      <c r="W4" s="16"/>
      <c r="X4" s="16"/>
      <c r="Y4" s="16"/>
      <c r="Z4" s="16"/>
      <c r="AA4" s="16"/>
      <c r="AB4" s="16"/>
      <c r="AC4" s="16"/>
      <c r="AD4" s="16"/>
      <c r="AE4" s="16"/>
      <c r="AF4" s="16"/>
      <c r="AG4" s="16"/>
      <c r="AH4" s="16"/>
      <c r="AI4" s="16"/>
      <c r="AJ4" s="16"/>
      <c r="AK4" s="16"/>
      <c r="AL4" s="16"/>
      <c r="AM4" s="16"/>
      <c r="AN4" s="16"/>
      <c r="AO4" s="16"/>
      <c r="AP4" s="16"/>
      <c r="AQ4" s="16"/>
    </row>
    <row r="5" customFormat="false" ht="15.75" hidden="false" customHeight="true" outlineLevel="0" collapsed="false">
      <c r="A5" s="17"/>
      <c r="B5" s="28" t="s">
        <v>76</v>
      </c>
      <c r="C5" s="29"/>
      <c r="D5" s="29"/>
      <c r="E5" s="29"/>
      <c r="F5" s="29"/>
      <c r="G5" s="29"/>
      <c r="H5" s="29"/>
      <c r="I5" s="29"/>
      <c r="J5" s="29"/>
      <c r="K5" s="29"/>
      <c r="L5" s="29"/>
      <c r="M5" s="30"/>
      <c r="N5" s="31" t="s">
        <v>77</v>
      </c>
      <c r="O5" s="31"/>
      <c r="P5" s="31" t="s">
        <v>78</v>
      </c>
      <c r="Q5" s="31"/>
      <c r="R5" s="30"/>
      <c r="S5" s="31" t="s">
        <v>77</v>
      </c>
      <c r="T5" s="31"/>
      <c r="U5" s="31" t="s">
        <v>78</v>
      </c>
      <c r="V5" s="31"/>
      <c r="W5" s="16"/>
      <c r="X5" s="16"/>
      <c r="Y5" s="16"/>
      <c r="Z5" s="16"/>
      <c r="AA5" s="16"/>
      <c r="AB5" s="16"/>
      <c r="AC5" s="16"/>
      <c r="AD5" s="16"/>
      <c r="AE5" s="16"/>
      <c r="AF5" s="16"/>
      <c r="AG5" s="16"/>
      <c r="AH5" s="16"/>
      <c r="AI5" s="16"/>
      <c r="AJ5" s="16"/>
      <c r="AK5" s="16"/>
      <c r="AL5" s="16"/>
      <c r="AM5" s="16"/>
      <c r="AN5" s="16"/>
      <c r="AO5" s="16"/>
      <c r="AP5" s="16"/>
      <c r="AQ5" s="16"/>
    </row>
    <row r="6" customFormat="false" ht="28.35" hidden="false" customHeight="false" outlineLevel="0" collapsed="false">
      <c r="A6" s="17"/>
      <c r="B6" s="17"/>
      <c r="C6" s="17"/>
      <c r="D6" s="29"/>
      <c r="E6" s="29"/>
      <c r="F6" s="29"/>
      <c r="G6" s="29"/>
      <c r="H6" s="29"/>
      <c r="I6" s="29"/>
      <c r="J6" s="29"/>
      <c r="K6" s="29"/>
      <c r="L6" s="29"/>
      <c r="M6" s="32" t="s">
        <v>79</v>
      </c>
      <c r="N6" s="33"/>
      <c r="O6" s="33"/>
      <c r="P6" s="33"/>
      <c r="Q6" s="33"/>
      <c r="R6" s="32" t="s">
        <v>79</v>
      </c>
      <c r="S6" s="33"/>
      <c r="T6" s="33"/>
      <c r="U6" s="33"/>
      <c r="V6" s="33"/>
      <c r="W6" s="16"/>
      <c r="X6" s="16"/>
      <c r="Y6" s="16"/>
      <c r="Z6" s="16"/>
      <c r="AA6" s="16"/>
      <c r="AB6" s="16"/>
      <c r="AC6" s="16"/>
      <c r="AD6" s="16"/>
      <c r="AE6" s="16"/>
      <c r="AF6" s="16"/>
      <c r="AG6" s="16"/>
      <c r="AH6" s="16"/>
      <c r="AI6" s="16"/>
      <c r="AJ6" s="16"/>
      <c r="AK6" s="16"/>
      <c r="AL6" s="16"/>
      <c r="AM6" s="16"/>
      <c r="AN6" s="16"/>
      <c r="AO6" s="16"/>
      <c r="AP6" s="16"/>
      <c r="AQ6" s="16"/>
    </row>
    <row r="7" customFormat="false" ht="15.75" hidden="false" customHeight="false" outlineLevel="0" collapsed="false">
      <c r="A7" s="17"/>
      <c r="B7" s="17"/>
      <c r="C7" s="17"/>
      <c r="D7" s="29"/>
      <c r="E7" s="29"/>
      <c r="F7" s="29"/>
      <c r="G7" s="29"/>
      <c r="H7" s="29"/>
      <c r="I7" s="29"/>
      <c r="J7" s="29"/>
      <c r="K7" s="29"/>
      <c r="L7" s="29"/>
      <c r="M7" s="32" t="s">
        <v>80</v>
      </c>
      <c r="N7" s="33"/>
      <c r="O7" s="33"/>
      <c r="P7" s="33"/>
      <c r="Q7" s="33"/>
      <c r="R7" s="32" t="s">
        <v>80</v>
      </c>
      <c r="S7" s="33"/>
      <c r="T7" s="33"/>
      <c r="U7" s="33"/>
      <c r="V7" s="33"/>
      <c r="W7" s="16"/>
      <c r="X7" s="16"/>
      <c r="Y7" s="16"/>
      <c r="Z7" s="16"/>
      <c r="AA7" s="16"/>
      <c r="AB7" s="16"/>
      <c r="AC7" s="16"/>
      <c r="AD7" s="16"/>
      <c r="AE7" s="16"/>
      <c r="AF7" s="16"/>
      <c r="AG7" s="16"/>
      <c r="AH7" s="16"/>
      <c r="AI7" s="16"/>
      <c r="AJ7" s="16"/>
      <c r="AK7" s="16"/>
      <c r="AL7" s="16"/>
      <c r="AM7" s="16"/>
      <c r="AN7" s="16"/>
      <c r="AO7" s="16"/>
      <c r="AP7" s="16"/>
      <c r="AQ7" s="16"/>
    </row>
    <row r="8" customFormat="false" ht="28.35" hidden="false" customHeight="false" outlineLevel="0" collapsed="false">
      <c r="A8" s="17"/>
      <c r="B8" s="17"/>
      <c r="C8" s="17"/>
      <c r="D8" s="29"/>
      <c r="E8" s="29"/>
      <c r="F8" s="29"/>
      <c r="G8" s="29"/>
      <c r="H8" s="29"/>
      <c r="I8" s="29"/>
      <c r="J8" s="29"/>
      <c r="K8" s="29"/>
      <c r="L8" s="29"/>
      <c r="M8" s="32" t="s">
        <v>81</v>
      </c>
      <c r="N8" s="33"/>
      <c r="O8" s="33"/>
      <c r="P8" s="33"/>
      <c r="Q8" s="33"/>
      <c r="R8" s="32" t="s">
        <v>81</v>
      </c>
      <c r="S8" s="33"/>
      <c r="T8" s="33"/>
      <c r="U8" s="33"/>
      <c r="V8" s="33"/>
      <c r="W8" s="16"/>
      <c r="X8" s="16"/>
      <c r="Y8" s="16"/>
      <c r="Z8" s="16"/>
      <c r="AA8" s="16"/>
      <c r="AB8" s="16"/>
      <c r="AC8" s="16"/>
      <c r="AD8" s="16"/>
      <c r="AE8" s="16"/>
      <c r="AF8" s="16"/>
      <c r="AG8" s="16"/>
      <c r="AH8" s="16"/>
      <c r="AI8" s="16"/>
      <c r="AJ8" s="16"/>
      <c r="AK8" s="16"/>
      <c r="AL8" s="16"/>
      <c r="AM8" s="16"/>
      <c r="AN8" s="16"/>
      <c r="AO8" s="16"/>
      <c r="AP8" s="16"/>
      <c r="AQ8" s="16"/>
    </row>
    <row r="9" customFormat="false" ht="41.75" hidden="false" customHeight="false" outlineLevel="0" collapsed="false">
      <c r="A9" s="17"/>
      <c r="B9" s="17"/>
      <c r="C9" s="17"/>
      <c r="D9" s="29"/>
      <c r="E9" s="29"/>
      <c r="F9" s="29"/>
      <c r="G9" s="29"/>
      <c r="H9" s="29"/>
      <c r="I9" s="29"/>
      <c r="J9" s="29"/>
      <c r="K9" s="29"/>
      <c r="L9" s="29"/>
      <c r="M9" s="32" t="s">
        <v>82</v>
      </c>
      <c r="N9" s="33"/>
      <c r="O9" s="33"/>
      <c r="P9" s="33"/>
      <c r="Q9" s="33"/>
      <c r="R9" s="32" t="s">
        <v>82</v>
      </c>
      <c r="S9" s="33"/>
      <c r="T9" s="33"/>
      <c r="U9" s="33"/>
      <c r="V9" s="33"/>
      <c r="W9" s="16"/>
      <c r="X9" s="16"/>
      <c r="Y9" s="16"/>
      <c r="Z9" s="16"/>
      <c r="AA9" s="16"/>
      <c r="AB9" s="16"/>
      <c r="AC9" s="16"/>
      <c r="AD9" s="16"/>
      <c r="AE9" s="16"/>
      <c r="AF9" s="16"/>
      <c r="AG9" s="16"/>
      <c r="AH9" s="16"/>
      <c r="AI9" s="16"/>
      <c r="AJ9" s="16"/>
      <c r="AK9" s="16"/>
      <c r="AL9" s="16"/>
      <c r="AM9" s="16"/>
      <c r="AN9" s="16"/>
      <c r="AO9" s="16"/>
      <c r="AP9" s="16"/>
      <c r="AQ9" s="16"/>
    </row>
    <row r="10" customFormat="false" ht="28.35" hidden="false" customHeight="false" outlineLevel="0" collapsed="false">
      <c r="A10" s="17"/>
      <c r="B10" s="17"/>
      <c r="C10" s="17"/>
      <c r="D10" s="29"/>
      <c r="E10" s="29"/>
      <c r="F10" s="29"/>
      <c r="G10" s="29"/>
      <c r="H10" s="29"/>
      <c r="I10" s="29"/>
      <c r="J10" s="29"/>
      <c r="K10" s="29"/>
      <c r="L10" s="29"/>
      <c r="M10" s="23"/>
      <c r="N10" s="23"/>
      <c r="O10" s="23"/>
      <c r="P10" s="23"/>
      <c r="Q10" s="23"/>
      <c r="R10" s="32" t="s">
        <v>83</v>
      </c>
      <c r="S10" s="33"/>
      <c r="T10" s="33"/>
      <c r="U10" s="33"/>
      <c r="V10" s="33"/>
      <c r="W10" s="16"/>
      <c r="X10" s="16"/>
      <c r="Y10" s="16"/>
      <c r="Z10" s="16"/>
      <c r="AA10" s="16"/>
      <c r="AB10" s="16"/>
      <c r="AC10" s="16"/>
      <c r="AD10" s="16"/>
      <c r="AE10" s="16"/>
      <c r="AF10" s="16"/>
      <c r="AG10" s="16"/>
      <c r="AH10" s="16"/>
      <c r="AI10" s="16"/>
      <c r="AJ10" s="16"/>
      <c r="AK10" s="16"/>
      <c r="AL10" s="16"/>
      <c r="AM10" s="16"/>
      <c r="AN10" s="16"/>
      <c r="AO10" s="16"/>
      <c r="AP10" s="16"/>
      <c r="AQ10" s="16"/>
    </row>
    <row r="11" customFormat="false" ht="55.2" hidden="false" customHeight="false" outlineLevel="0" collapsed="false">
      <c r="A11" s="17"/>
      <c r="B11" s="17"/>
      <c r="C11" s="17"/>
      <c r="D11" s="29"/>
      <c r="E11" s="29"/>
      <c r="F11" s="29"/>
      <c r="G11" s="29"/>
      <c r="H11" s="29"/>
      <c r="I11" s="29"/>
      <c r="J11" s="29"/>
      <c r="K11" s="29"/>
      <c r="L11" s="29"/>
      <c r="M11" s="23"/>
      <c r="N11" s="23"/>
      <c r="O11" s="23"/>
      <c r="P11" s="23"/>
      <c r="Q11" s="23"/>
      <c r="R11" s="32" t="s">
        <v>84</v>
      </c>
      <c r="S11" s="33"/>
      <c r="T11" s="33"/>
      <c r="U11" s="33"/>
      <c r="V11" s="33"/>
      <c r="W11" s="16"/>
      <c r="X11" s="16"/>
      <c r="Y11" s="16"/>
      <c r="Z11" s="16"/>
      <c r="AA11" s="16"/>
      <c r="AB11" s="16"/>
      <c r="AC11" s="16"/>
      <c r="AD11" s="16"/>
      <c r="AE11" s="16"/>
      <c r="AF11" s="16"/>
      <c r="AG11" s="16"/>
      <c r="AH11" s="16"/>
      <c r="AI11" s="16"/>
      <c r="AJ11" s="16"/>
      <c r="AK11" s="16"/>
      <c r="AL11" s="16"/>
      <c r="AM11" s="16"/>
      <c r="AN11" s="16"/>
      <c r="AO11" s="16"/>
      <c r="AP11" s="16"/>
      <c r="AQ11" s="16"/>
    </row>
    <row r="12" customFormat="false" ht="41.75" hidden="false" customHeight="false" outlineLevel="0" collapsed="false">
      <c r="A12" s="17"/>
      <c r="B12" s="17"/>
      <c r="C12" s="17"/>
      <c r="D12" s="29"/>
      <c r="E12" s="29"/>
      <c r="F12" s="29"/>
      <c r="G12" s="29"/>
      <c r="H12" s="29"/>
      <c r="I12" s="29"/>
      <c r="J12" s="29"/>
      <c r="K12" s="29"/>
      <c r="L12" s="29"/>
      <c r="M12" s="23"/>
      <c r="N12" s="23"/>
      <c r="O12" s="23"/>
      <c r="P12" s="23"/>
      <c r="Q12" s="23"/>
      <c r="R12" s="32" t="s">
        <v>85</v>
      </c>
      <c r="S12" s="33"/>
      <c r="T12" s="33"/>
      <c r="U12" s="33"/>
      <c r="V12" s="33"/>
      <c r="W12" s="16"/>
      <c r="X12" s="16"/>
      <c r="Y12" s="16"/>
      <c r="Z12" s="16"/>
      <c r="AA12" s="16"/>
      <c r="AB12" s="16"/>
      <c r="AC12" s="16"/>
      <c r="AD12" s="16"/>
      <c r="AE12" s="16"/>
      <c r="AF12" s="16"/>
      <c r="AG12" s="16"/>
      <c r="AH12" s="16"/>
      <c r="AI12" s="16"/>
      <c r="AJ12" s="16"/>
      <c r="AK12" s="16"/>
      <c r="AL12" s="16"/>
      <c r="AM12" s="16"/>
      <c r="AN12" s="16"/>
      <c r="AO12" s="16"/>
      <c r="AP12" s="16"/>
      <c r="AQ12" s="16"/>
    </row>
    <row r="13" customFormat="false" ht="41.75" hidden="false" customHeight="false" outlineLevel="0" collapsed="false">
      <c r="A13" s="17"/>
      <c r="B13" s="17"/>
      <c r="C13" s="17"/>
      <c r="D13" s="29"/>
      <c r="E13" s="29"/>
      <c r="F13" s="29"/>
      <c r="G13" s="29"/>
      <c r="H13" s="29"/>
      <c r="I13" s="29"/>
      <c r="J13" s="29"/>
      <c r="K13" s="29"/>
      <c r="L13" s="29"/>
      <c r="M13" s="23"/>
      <c r="N13" s="23"/>
      <c r="O13" s="23"/>
      <c r="P13" s="23"/>
      <c r="Q13" s="23"/>
      <c r="R13" s="32" t="s">
        <v>86</v>
      </c>
      <c r="S13" s="33"/>
      <c r="T13" s="33"/>
      <c r="U13" s="33"/>
      <c r="V13" s="33"/>
      <c r="W13" s="16"/>
      <c r="X13" s="16"/>
      <c r="Y13" s="16"/>
      <c r="Z13" s="16"/>
      <c r="AA13" s="16"/>
      <c r="AB13" s="16"/>
      <c r="AC13" s="16"/>
      <c r="AD13" s="16"/>
      <c r="AE13" s="16"/>
      <c r="AF13" s="16"/>
      <c r="AG13" s="16"/>
      <c r="AH13" s="16"/>
      <c r="AI13" s="16"/>
      <c r="AJ13" s="16"/>
      <c r="AK13" s="16"/>
      <c r="AL13" s="16"/>
      <c r="AM13" s="16"/>
      <c r="AN13" s="16"/>
      <c r="AO13" s="16"/>
      <c r="AP13" s="16"/>
      <c r="AQ13" s="16"/>
    </row>
    <row r="14" customFormat="false" ht="41.75" hidden="false" customHeight="false" outlineLevel="0" collapsed="false">
      <c r="A14" s="17"/>
      <c r="B14" s="17"/>
      <c r="C14" s="17"/>
      <c r="D14" s="29"/>
      <c r="E14" s="29"/>
      <c r="F14" s="29"/>
      <c r="G14" s="29"/>
      <c r="H14" s="29"/>
      <c r="I14" s="29"/>
      <c r="J14" s="29"/>
      <c r="K14" s="29"/>
      <c r="L14" s="29"/>
      <c r="M14" s="23"/>
      <c r="N14" s="23"/>
      <c r="O14" s="23"/>
      <c r="P14" s="23"/>
      <c r="Q14" s="23"/>
      <c r="R14" s="32" t="s">
        <v>87</v>
      </c>
      <c r="S14" s="33"/>
      <c r="T14" s="33"/>
      <c r="U14" s="33"/>
      <c r="V14" s="33"/>
      <c r="W14" s="16"/>
      <c r="X14" s="16"/>
      <c r="Y14" s="16"/>
      <c r="Z14" s="16"/>
      <c r="AA14" s="16"/>
      <c r="AB14" s="16"/>
      <c r="AC14" s="16"/>
      <c r="AD14" s="16"/>
      <c r="AE14" s="16"/>
      <c r="AF14" s="16"/>
      <c r="AG14" s="16"/>
      <c r="AH14" s="16"/>
      <c r="AI14" s="16"/>
      <c r="AJ14" s="16"/>
      <c r="AK14" s="16"/>
      <c r="AL14" s="16"/>
      <c r="AM14" s="16"/>
      <c r="AN14" s="16"/>
      <c r="AO14" s="16"/>
      <c r="AP14" s="16"/>
      <c r="AQ14" s="16"/>
    </row>
    <row r="15" customFormat="false" ht="15.75" hidden="false" customHeight="false" outlineLevel="0" collapsed="false">
      <c r="A15" s="34"/>
      <c r="B15" s="34"/>
      <c r="C15" s="34"/>
      <c r="D15" s="34"/>
      <c r="E15" s="34"/>
      <c r="F15" s="34"/>
      <c r="G15" s="34"/>
      <c r="H15" s="34"/>
      <c r="I15" s="34"/>
      <c r="J15" s="34"/>
      <c r="K15" s="34"/>
      <c r="L15" s="34"/>
      <c r="M15" s="35" t="s">
        <v>88</v>
      </c>
      <c r="N15" s="36" t="str">
        <f aca="false">IF( AND(COUNT(N6:Q6)=1,COUNT(N7:Q7)=1,COUNT(N8:Q8)=1,COUNT(N9:Q9)=1), SUM(P6:Q9)/ROWS(P6:Q9), "Error - check cell values")</f>
        <v>Error - check cell values</v>
      </c>
      <c r="O15" s="36"/>
      <c r="P15" s="36"/>
      <c r="Q15" s="36"/>
      <c r="R15" s="35" t="s">
        <v>88</v>
      </c>
      <c r="S15" s="36" t="str">
        <f aca="false">IF( AND(COUNT(S6:V6)=1,COUNT(S7:V7)=1,COUNT(S8:V8)=1,COUNT(S9:V9)=1,COUNT(S10:V10)=1,COUNT(S11:V11)=1,COUNT(S12:V12)=1,COUNT(S13:V13)=1,COUNT(S14:V14)=1), SUM(U6:V14)/ROWS(U6:V14), "Error - check cell values")</f>
        <v>Error - check cell values</v>
      </c>
      <c r="T15" s="36"/>
      <c r="U15" s="36"/>
      <c r="V15" s="36"/>
      <c r="W15" s="16"/>
      <c r="X15" s="16"/>
      <c r="Y15" s="16"/>
      <c r="Z15" s="16"/>
      <c r="AA15" s="16"/>
      <c r="AB15" s="16"/>
      <c r="AC15" s="16"/>
      <c r="AD15" s="16"/>
      <c r="AE15" s="16"/>
      <c r="AF15" s="16"/>
      <c r="AG15" s="16"/>
      <c r="AH15" s="16"/>
      <c r="AI15" s="16"/>
      <c r="AJ15" s="16"/>
      <c r="AK15" s="16"/>
      <c r="AL15" s="16"/>
      <c r="AM15" s="16"/>
      <c r="AN15" s="16"/>
      <c r="AO15" s="16"/>
      <c r="AP15" s="16"/>
      <c r="AQ15" s="16"/>
    </row>
    <row r="16" customFormat="false" ht="41.75" hidden="false" customHeight="false" outlineLevel="0" collapsed="false">
      <c r="A16" s="37"/>
      <c r="B16" s="37"/>
      <c r="C16" s="37"/>
      <c r="D16" s="38" t="s">
        <v>77</v>
      </c>
      <c r="E16" s="38" t="s">
        <v>89</v>
      </c>
      <c r="F16" s="38" t="s">
        <v>78</v>
      </c>
      <c r="G16" s="38" t="s">
        <v>90</v>
      </c>
      <c r="H16" s="39"/>
      <c r="I16" s="38" t="s">
        <v>77</v>
      </c>
      <c r="J16" s="38" t="s">
        <v>89</v>
      </c>
      <c r="K16" s="38" t="s">
        <v>78</v>
      </c>
      <c r="L16" s="38" t="s">
        <v>90</v>
      </c>
      <c r="M16" s="39"/>
      <c r="N16" s="38" t="s">
        <v>77</v>
      </c>
      <c r="O16" s="38" t="s">
        <v>89</v>
      </c>
      <c r="P16" s="38" t="s">
        <v>78</v>
      </c>
      <c r="Q16" s="38" t="s">
        <v>90</v>
      </c>
      <c r="R16" s="39"/>
      <c r="S16" s="38" t="s">
        <v>77</v>
      </c>
      <c r="T16" s="38" t="s">
        <v>89</v>
      </c>
      <c r="U16" s="38" t="s">
        <v>78</v>
      </c>
      <c r="V16" s="38" t="s">
        <v>90</v>
      </c>
      <c r="W16" s="16"/>
      <c r="X16" s="16"/>
      <c r="Y16" s="16"/>
      <c r="Z16" s="16"/>
      <c r="AA16" s="16"/>
      <c r="AB16" s="16"/>
      <c r="AC16" s="16"/>
      <c r="AD16" s="16"/>
      <c r="AE16" s="16"/>
      <c r="AF16" s="16"/>
      <c r="AG16" s="16"/>
      <c r="AH16" s="16"/>
      <c r="AI16" s="16"/>
      <c r="AJ16" s="16"/>
      <c r="AK16" s="16"/>
      <c r="AL16" s="16"/>
      <c r="AM16" s="16"/>
      <c r="AN16" s="16"/>
      <c r="AO16" s="16"/>
      <c r="AP16" s="16"/>
      <c r="AQ16" s="16"/>
    </row>
    <row r="17" customFormat="false" ht="46.25" hidden="false" customHeight="true" outlineLevel="0" collapsed="false">
      <c r="A17" s="17" t="s">
        <v>91</v>
      </c>
      <c r="B17" s="40" t="s">
        <v>92</v>
      </c>
      <c r="C17" s="41" t="s">
        <v>93</v>
      </c>
      <c r="D17" s="22"/>
      <c r="E17" s="22"/>
      <c r="F17" s="22"/>
      <c r="G17" s="22" t="n">
        <v>1</v>
      </c>
      <c r="H17" s="42" t="s">
        <v>94</v>
      </c>
      <c r="I17" s="22"/>
      <c r="J17" s="22"/>
      <c r="K17" s="43"/>
      <c r="L17" s="43" t="n">
        <v>1</v>
      </c>
      <c r="M17" s="42" t="s">
        <v>95</v>
      </c>
      <c r="N17" s="22"/>
      <c r="O17" s="22"/>
      <c r="P17" s="22"/>
      <c r="Q17" s="44" t="n">
        <v>1</v>
      </c>
      <c r="R17" s="26" t="s">
        <v>96</v>
      </c>
      <c r="S17" s="22"/>
      <c r="T17" s="22"/>
      <c r="U17" s="22"/>
      <c r="V17" s="22" t="n">
        <v>1</v>
      </c>
      <c r="W17" s="16"/>
      <c r="X17" s="16"/>
      <c r="Y17" s="16"/>
      <c r="Z17" s="16"/>
      <c r="AA17" s="16"/>
      <c r="AB17" s="16"/>
      <c r="AC17" s="16"/>
      <c r="AD17" s="16"/>
      <c r="AE17" s="16"/>
      <c r="AF17" s="16"/>
      <c r="AG17" s="16"/>
      <c r="AH17" s="16"/>
      <c r="AI17" s="16"/>
      <c r="AJ17" s="16"/>
      <c r="AK17" s="16"/>
      <c r="AL17" s="16"/>
      <c r="AM17" s="16"/>
      <c r="AN17" s="16"/>
      <c r="AO17" s="16"/>
      <c r="AP17" s="16"/>
      <c r="AQ17" s="16"/>
    </row>
    <row r="18" customFormat="false" ht="41.75" hidden="false" customHeight="false" outlineLevel="0" collapsed="false">
      <c r="A18" s="17"/>
      <c r="B18" s="17"/>
      <c r="C18" s="45" t="s">
        <v>97</v>
      </c>
      <c r="D18" s="22"/>
      <c r="E18" s="22"/>
      <c r="F18" s="22"/>
      <c r="G18" s="22" t="n">
        <v>1</v>
      </c>
      <c r="H18" s="42" t="s">
        <v>98</v>
      </c>
      <c r="I18" s="22"/>
      <c r="J18" s="22"/>
      <c r="K18" s="43"/>
      <c r="L18" s="43" t="n">
        <v>1</v>
      </c>
      <c r="M18" s="26" t="s">
        <v>99</v>
      </c>
      <c r="N18" s="22"/>
      <c r="O18" s="22"/>
      <c r="P18" s="22"/>
      <c r="Q18" s="44" t="n">
        <v>1</v>
      </c>
      <c r="R18" s="26" t="s">
        <v>100</v>
      </c>
      <c r="S18" s="22"/>
      <c r="T18" s="22"/>
      <c r="U18" s="22"/>
      <c r="V18" s="22" t="n">
        <v>1</v>
      </c>
      <c r="W18" s="16"/>
      <c r="X18" s="16"/>
      <c r="Y18" s="16"/>
      <c r="Z18" s="16"/>
      <c r="AA18" s="16"/>
      <c r="AB18" s="16"/>
      <c r="AC18" s="16"/>
      <c r="AD18" s="16"/>
      <c r="AE18" s="16"/>
      <c r="AF18" s="16"/>
      <c r="AG18" s="16"/>
      <c r="AH18" s="16"/>
      <c r="AI18" s="16"/>
      <c r="AJ18" s="16"/>
      <c r="AK18" s="16"/>
      <c r="AL18" s="16"/>
      <c r="AM18" s="16"/>
      <c r="AN18" s="16"/>
      <c r="AO18" s="16"/>
      <c r="AP18" s="16"/>
      <c r="AQ18" s="16"/>
    </row>
    <row r="19" customFormat="false" ht="68.65" hidden="false" customHeight="false" outlineLevel="0" collapsed="false">
      <c r="A19" s="17"/>
      <c r="B19" s="17"/>
      <c r="C19" s="45" t="s">
        <v>101</v>
      </c>
      <c r="D19" s="22"/>
      <c r="E19" s="22"/>
      <c r="F19" s="22"/>
      <c r="G19" s="22" t="n">
        <v>1</v>
      </c>
      <c r="H19" s="46" t="s">
        <v>102</v>
      </c>
      <c r="I19" s="22"/>
      <c r="J19" s="22"/>
      <c r="K19" s="43"/>
      <c r="L19" s="43" t="n">
        <v>1</v>
      </c>
      <c r="M19" s="42" t="s">
        <v>103</v>
      </c>
      <c r="N19" s="22"/>
      <c r="O19" s="22"/>
      <c r="P19" s="22"/>
      <c r="Q19" s="44" t="n">
        <v>1</v>
      </c>
      <c r="R19" s="26" t="s">
        <v>104</v>
      </c>
      <c r="S19" s="22"/>
      <c r="T19" s="22"/>
      <c r="U19" s="22"/>
      <c r="V19" s="22" t="n">
        <v>1</v>
      </c>
      <c r="W19" s="16"/>
      <c r="X19" s="16"/>
      <c r="Y19" s="16"/>
      <c r="Z19" s="16"/>
      <c r="AA19" s="16"/>
      <c r="AB19" s="16"/>
      <c r="AC19" s="16"/>
      <c r="AD19" s="16"/>
      <c r="AE19" s="16"/>
      <c r="AF19" s="16"/>
      <c r="AG19" s="16"/>
      <c r="AH19" s="16"/>
      <c r="AI19" s="16"/>
      <c r="AJ19" s="16"/>
      <c r="AK19" s="16"/>
      <c r="AL19" s="16"/>
      <c r="AM19" s="16"/>
      <c r="AN19" s="16"/>
      <c r="AO19" s="16"/>
      <c r="AP19" s="16"/>
      <c r="AQ19" s="16"/>
    </row>
    <row r="20" customFormat="false" ht="68.65" hidden="false" customHeight="false" outlineLevel="0" collapsed="false">
      <c r="A20" s="17"/>
      <c r="B20" s="17"/>
      <c r="C20" s="45" t="s">
        <v>105</v>
      </c>
      <c r="D20" s="22"/>
      <c r="E20" s="22"/>
      <c r="F20" s="22"/>
      <c r="G20" s="22" t="n">
        <v>1</v>
      </c>
      <c r="H20" s="26" t="s">
        <v>106</v>
      </c>
      <c r="I20" s="22"/>
      <c r="J20" s="22"/>
      <c r="K20" s="43"/>
      <c r="L20" s="43" t="n">
        <v>1</v>
      </c>
      <c r="M20" s="42" t="s">
        <v>107</v>
      </c>
      <c r="N20" s="22"/>
      <c r="O20" s="22"/>
      <c r="P20" s="22"/>
      <c r="Q20" s="44" t="n">
        <v>1</v>
      </c>
      <c r="R20" s="42" t="s">
        <v>108</v>
      </c>
      <c r="S20" s="22"/>
      <c r="T20" s="22"/>
      <c r="U20" s="22"/>
      <c r="V20" s="22" t="n">
        <v>1</v>
      </c>
      <c r="W20" s="16"/>
      <c r="X20" s="16"/>
      <c r="Y20" s="16"/>
      <c r="Z20" s="16"/>
      <c r="AA20" s="16"/>
      <c r="AB20" s="16"/>
      <c r="AC20" s="16"/>
      <c r="AD20" s="16"/>
      <c r="AE20" s="16"/>
      <c r="AF20" s="16"/>
      <c r="AG20" s="16"/>
      <c r="AH20" s="16"/>
      <c r="AI20" s="16"/>
      <c r="AJ20" s="16"/>
      <c r="AK20" s="16"/>
      <c r="AL20" s="16"/>
      <c r="AM20" s="16"/>
      <c r="AN20" s="16"/>
      <c r="AO20" s="16"/>
      <c r="AP20" s="16"/>
      <c r="AQ20" s="16"/>
    </row>
    <row r="21" customFormat="false" ht="41.75" hidden="false" customHeight="false" outlineLevel="0" collapsed="false">
      <c r="A21" s="17"/>
      <c r="B21" s="17"/>
      <c r="C21" s="47"/>
      <c r="D21" s="47"/>
      <c r="E21" s="47"/>
      <c r="F21" s="47"/>
      <c r="G21" s="47"/>
      <c r="H21" s="42" t="s">
        <v>109</v>
      </c>
      <c r="I21" s="22"/>
      <c r="J21" s="22"/>
      <c r="K21" s="43"/>
      <c r="L21" s="43" t="n">
        <v>1</v>
      </c>
      <c r="M21" s="48" t="s">
        <v>110</v>
      </c>
      <c r="N21" s="22"/>
      <c r="O21" s="22"/>
      <c r="P21" s="22"/>
      <c r="Q21" s="44" t="n">
        <v>1</v>
      </c>
      <c r="R21" s="26" t="s">
        <v>111</v>
      </c>
      <c r="S21" s="22"/>
      <c r="T21" s="22"/>
      <c r="U21" s="22"/>
      <c r="V21" s="22" t="n">
        <v>1</v>
      </c>
      <c r="W21" s="16"/>
      <c r="X21" s="16"/>
      <c r="Y21" s="16"/>
      <c r="Z21" s="16"/>
      <c r="AA21" s="16"/>
      <c r="AB21" s="16"/>
      <c r="AC21" s="16"/>
      <c r="AD21" s="16"/>
      <c r="AE21" s="16"/>
      <c r="AF21" s="16"/>
      <c r="AG21" s="16"/>
      <c r="AH21" s="16"/>
      <c r="AI21" s="16"/>
      <c r="AJ21" s="16"/>
      <c r="AK21" s="16"/>
      <c r="AL21" s="16"/>
      <c r="AM21" s="16"/>
      <c r="AN21" s="16"/>
      <c r="AO21" s="16"/>
      <c r="AP21" s="16"/>
      <c r="AQ21" s="16"/>
    </row>
    <row r="22" customFormat="false" ht="55.2" hidden="false" customHeight="false" outlineLevel="0" collapsed="false">
      <c r="A22" s="17"/>
      <c r="B22" s="17"/>
      <c r="C22" s="17"/>
      <c r="D22" s="47"/>
      <c r="E22" s="47"/>
      <c r="F22" s="47"/>
      <c r="G22" s="47"/>
      <c r="H22" s="42" t="s">
        <v>112</v>
      </c>
      <c r="I22" s="22"/>
      <c r="J22" s="22"/>
      <c r="K22" s="43"/>
      <c r="L22" s="43" t="n">
        <v>1</v>
      </c>
      <c r="M22" s="42" t="s">
        <v>113</v>
      </c>
      <c r="N22" s="22"/>
      <c r="O22" s="22"/>
      <c r="P22" s="22"/>
      <c r="Q22" s="44" t="n">
        <v>1</v>
      </c>
      <c r="R22" s="49"/>
      <c r="S22" s="49"/>
      <c r="T22" s="49"/>
      <c r="U22" s="49"/>
      <c r="V22" s="49"/>
      <c r="W22" s="16"/>
      <c r="X22" s="16"/>
      <c r="Y22" s="16"/>
      <c r="Z22" s="16"/>
      <c r="AA22" s="16"/>
      <c r="AB22" s="16"/>
      <c r="AC22" s="16"/>
      <c r="AD22" s="16"/>
      <c r="AE22" s="16"/>
      <c r="AF22" s="16"/>
      <c r="AG22" s="16"/>
      <c r="AH22" s="16"/>
      <c r="AI22" s="16"/>
      <c r="AJ22" s="16"/>
      <c r="AK22" s="16"/>
      <c r="AL22" s="16"/>
      <c r="AM22" s="16"/>
      <c r="AN22" s="16"/>
      <c r="AO22" s="16"/>
      <c r="AP22" s="16"/>
      <c r="AQ22" s="16"/>
    </row>
    <row r="23" customFormat="false" ht="15.75" hidden="false" customHeight="true" outlineLevel="0" collapsed="false">
      <c r="A23" s="17"/>
      <c r="B23" s="34" t="s">
        <v>88</v>
      </c>
      <c r="C23" s="34"/>
      <c r="D23" s="50" t="e">
        <f aca="false">IF( AND(COUNT(D17:G17)=1,COUNT(D18:G18)=1,COUNT(D19:G19)=1,COUNT(D20:G20)=1), (SUM(F17:F20) + (SUM(E17:E20)/2)) / COUNTBLANK(G17:G20), "Error - check cell values")</f>
        <v>#DIV/0!</v>
      </c>
      <c r="E23" s="50"/>
      <c r="F23" s="51" t="n">
        <f aca="false">COUNTBLANK(G17:G20)</f>
        <v>0</v>
      </c>
      <c r="G23" s="51" t="n">
        <f aca="false">ROWS(G17:G20)</f>
        <v>4</v>
      </c>
      <c r="H23" s="52" t="s">
        <v>88</v>
      </c>
      <c r="I23" s="50" t="e">
        <f aca="false">IF( AND(COUNT(I17:L17)=1,COUNT(I18:L18)=1,COUNT(I19:L19)=1,COUNT(I20:L20)=1,COUNT(I21:L21)=1,COUNT(I22:L22)=1), (SUM(K17:K22) + (SUM(J17:J22)/2)) / COUNTBLANK(L17:L22), "Error - check cell values")</f>
        <v>#DIV/0!</v>
      </c>
      <c r="J23" s="50"/>
      <c r="K23" s="51" t="n">
        <f aca="false">COUNTBLANK(L17:L22)</f>
        <v>0</v>
      </c>
      <c r="L23" s="51" t="n">
        <f aca="false">ROWS(L17:L22)</f>
        <v>6</v>
      </c>
      <c r="M23" s="52" t="s">
        <v>88</v>
      </c>
      <c r="N23" s="50" t="e">
        <f aca="false">IF( AND(COUNT(N17:Q17)=1,COUNT(N18:Q18)=1,COUNT(N19:Q19)=1,COUNT(N20:Q20)=1,COUNT(N21:Q21)=1,COUNT(N22:Q22)=1), (SUM(P17:P22) + (SUM(O17:O22)/2)) / COUNTBLANK(Q17:Q22), "Error - check cell values")</f>
        <v>#DIV/0!</v>
      </c>
      <c r="O23" s="50"/>
      <c r="P23" s="51" t="n">
        <f aca="false">COUNTBLANK(Q17:Q22)</f>
        <v>0</v>
      </c>
      <c r="Q23" s="51" t="n">
        <f aca="false">ROWS(Q17:Q22)</f>
        <v>6</v>
      </c>
      <c r="R23" s="52" t="s">
        <v>88</v>
      </c>
      <c r="S23" s="50" t="e">
        <f aca="false">IF( AND(COUNT(S17:V17)=1,COUNT(S18:V18)=1,COUNT(S19:V19)=1,COUNT(S20:V20)=1,COUNT(S21:V21)=1), (SUM(U17:U21) + (SUM(T17:T21)/2)) / COUNTBLANK(V17:V21), "Error - check cell values")</f>
        <v>#DIV/0!</v>
      </c>
      <c r="T23" s="50"/>
      <c r="U23" s="51" t="n">
        <f aca="false">COUNTBLANK(V17:V21)</f>
        <v>0</v>
      </c>
      <c r="V23" s="51" t="n">
        <f aca="false">ROWS(V17:V21)</f>
        <v>5</v>
      </c>
      <c r="W23" s="53"/>
      <c r="X23" s="53"/>
      <c r="Y23" s="53"/>
      <c r="Z23" s="53"/>
      <c r="AA23" s="53"/>
      <c r="AB23" s="53"/>
      <c r="AC23" s="53"/>
      <c r="AD23" s="53"/>
      <c r="AE23" s="53"/>
      <c r="AF23" s="53"/>
      <c r="AG23" s="53"/>
      <c r="AH23" s="53"/>
      <c r="AI23" s="53"/>
      <c r="AJ23" s="53"/>
      <c r="AK23" s="53"/>
      <c r="AL23" s="53"/>
      <c r="AM23" s="53"/>
      <c r="AN23" s="53"/>
      <c r="AO23" s="53"/>
      <c r="AP23" s="53"/>
      <c r="AQ23" s="53"/>
    </row>
    <row r="24" customFormat="false" ht="41.75" hidden="false" customHeight="false" outlineLevel="0" collapsed="false">
      <c r="A24" s="17"/>
      <c r="B24" s="37"/>
      <c r="C24" s="37"/>
      <c r="D24" s="38" t="s">
        <v>77</v>
      </c>
      <c r="E24" s="38" t="s">
        <v>89</v>
      </c>
      <c r="F24" s="38" t="s">
        <v>78</v>
      </c>
      <c r="G24" s="38" t="s">
        <v>90</v>
      </c>
      <c r="H24" s="39"/>
      <c r="I24" s="38" t="s">
        <v>77</v>
      </c>
      <c r="J24" s="38" t="s">
        <v>89</v>
      </c>
      <c r="K24" s="38" t="s">
        <v>78</v>
      </c>
      <c r="L24" s="38" t="s">
        <v>90</v>
      </c>
      <c r="M24" s="39"/>
      <c r="N24" s="38" t="s">
        <v>77</v>
      </c>
      <c r="O24" s="38" t="s">
        <v>89</v>
      </c>
      <c r="P24" s="38" t="s">
        <v>78</v>
      </c>
      <c r="Q24" s="38" t="s">
        <v>90</v>
      </c>
      <c r="R24" s="39"/>
      <c r="S24" s="38" t="s">
        <v>77</v>
      </c>
      <c r="T24" s="38" t="s">
        <v>89</v>
      </c>
      <c r="U24" s="38" t="s">
        <v>78</v>
      </c>
      <c r="V24" s="38" t="s">
        <v>90</v>
      </c>
      <c r="W24" s="16"/>
      <c r="X24" s="16"/>
      <c r="Y24" s="16"/>
      <c r="Z24" s="16"/>
      <c r="AA24" s="16"/>
      <c r="AB24" s="16"/>
      <c r="AC24" s="16"/>
      <c r="AD24" s="16"/>
      <c r="AE24" s="16"/>
      <c r="AF24" s="16"/>
      <c r="AG24" s="16"/>
      <c r="AH24" s="16"/>
      <c r="AI24" s="16"/>
      <c r="AJ24" s="16"/>
      <c r="AK24" s="16"/>
      <c r="AL24" s="16"/>
      <c r="AM24" s="16"/>
      <c r="AN24" s="16"/>
      <c r="AO24" s="16"/>
      <c r="AP24" s="16"/>
      <c r="AQ24" s="16"/>
    </row>
    <row r="25" customFormat="false" ht="41.75" hidden="false" customHeight="true" outlineLevel="0" collapsed="false">
      <c r="A25" s="17"/>
      <c r="B25" s="40" t="s">
        <v>114</v>
      </c>
      <c r="C25" s="26" t="s">
        <v>115</v>
      </c>
      <c r="D25" s="22"/>
      <c r="E25" s="22"/>
      <c r="F25" s="22"/>
      <c r="G25" s="22" t="n">
        <v>1</v>
      </c>
      <c r="H25" s="42" t="s">
        <v>116</v>
      </c>
      <c r="I25" s="22"/>
      <c r="J25" s="22"/>
      <c r="K25" s="22"/>
      <c r="L25" s="22" t="n">
        <v>1</v>
      </c>
      <c r="M25" s="42" t="s">
        <v>117</v>
      </c>
      <c r="N25" s="22"/>
      <c r="O25" s="22"/>
      <c r="P25" s="22"/>
      <c r="Q25" s="22" t="n">
        <v>1</v>
      </c>
      <c r="R25" s="42" t="s">
        <v>118</v>
      </c>
      <c r="S25" s="22"/>
      <c r="T25" s="22"/>
      <c r="U25" s="22"/>
      <c r="V25" s="22" t="n">
        <v>1</v>
      </c>
      <c r="W25" s="16"/>
      <c r="X25" s="16"/>
      <c r="Y25" s="16"/>
      <c r="Z25" s="16"/>
      <c r="AA25" s="16"/>
      <c r="AB25" s="16"/>
      <c r="AC25" s="16"/>
      <c r="AD25" s="16"/>
      <c r="AE25" s="16"/>
      <c r="AF25" s="16"/>
      <c r="AG25" s="16"/>
      <c r="AH25" s="16"/>
      <c r="AI25" s="16"/>
      <c r="AJ25" s="16"/>
      <c r="AK25" s="16"/>
      <c r="AL25" s="16"/>
      <c r="AM25" s="16"/>
      <c r="AN25" s="16"/>
      <c r="AO25" s="16"/>
      <c r="AP25" s="16"/>
      <c r="AQ25" s="16"/>
    </row>
    <row r="26" customFormat="false" ht="41.75" hidden="false" customHeight="false" outlineLevel="0" collapsed="false">
      <c r="A26" s="17"/>
      <c r="B26" s="17"/>
      <c r="C26" s="42" t="s">
        <v>119</v>
      </c>
      <c r="D26" s="22"/>
      <c r="E26" s="22"/>
      <c r="F26" s="22"/>
      <c r="G26" s="22" t="n">
        <v>1</v>
      </c>
      <c r="H26" s="26" t="s">
        <v>120</v>
      </c>
      <c r="I26" s="22"/>
      <c r="J26" s="22"/>
      <c r="K26" s="22"/>
      <c r="L26" s="22" t="n">
        <v>1</v>
      </c>
      <c r="M26" s="26" t="s">
        <v>121</v>
      </c>
      <c r="N26" s="22"/>
      <c r="O26" s="22"/>
      <c r="P26" s="22"/>
      <c r="Q26" s="22" t="n">
        <v>1</v>
      </c>
      <c r="R26" s="42" t="s">
        <v>122</v>
      </c>
      <c r="S26" s="22"/>
      <c r="T26" s="22"/>
      <c r="U26" s="22"/>
      <c r="V26" s="22" t="n">
        <v>1</v>
      </c>
      <c r="W26" s="16"/>
      <c r="X26" s="16"/>
      <c r="Y26" s="16"/>
      <c r="Z26" s="16"/>
      <c r="AA26" s="16"/>
      <c r="AB26" s="16"/>
      <c r="AC26" s="16"/>
      <c r="AD26" s="16"/>
      <c r="AE26" s="16"/>
      <c r="AF26" s="16"/>
      <c r="AG26" s="16"/>
      <c r="AH26" s="16"/>
      <c r="AI26" s="16"/>
      <c r="AJ26" s="16"/>
      <c r="AK26" s="16"/>
      <c r="AL26" s="16"/>
      <c r="AM26" s="16"/>
      <c r="AN26" s="16"/>
      <c r="AO26" s="16"/>
      <c r="AP26" s="16"/>
      <c r="AQ26" s="16"/>
    </row>
    <row r="27" customFormat="false" ht="15.75" hidden="false" customHeight="false" outlineLevel="0" collapsed="false">
      <c r="A27" s="17"/>
      <c r="B27" s="17"/>
      <c r="C27" s="42" t="s">
        <v>123</v>
      </c>
      <c r="D27" s="22"/>
      <c r="E27" s="22"/>
      <c r="F27" s="22"/>
      <c r="G27" s="22" t="n">
        <v>1</v>
      </c>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row>
    <row r="28" customFormat="false" ht="15.75" hidden="false" customHeight="true" outlineLevel="0" collapsed="false">
      <c r="A28" s="17"/>
      <c r="B28" s="34" t="s">
        <v>88</v>
      </c>
      <c r="C28" s="34"/>
      <c r="D28" s="50" t="e">
        <f aca="false">IF( AND(COUNT(D25:G25)=1,COUNT(D26:G26)=1,COUNT(D27:G27)=1), (SUM(F25:F27) + (SUM(E25:E27)/2)) / COUNTBLANK(G25:G27), "Error - check cell values")</f>
        <v>#DIV/0!</v>
      </c>
      <c r="E28" s="50"/>
      <c r="F28" s="51" t="n">
        <f aca="false">COUNTBLANK(G25:G27)</f>
        <v>0</v>
      </c>
      <c r="G28" s="51" t="n">
        <f aca="false">ROWS(G25:G27)</f>
        <v>3</v>
      </c>
      <c r="H28" s="52" t="s">
        <v>88</v>
      </c>
      <c r="I28" s="50" t="e">
        <f aca="false">IF( AND(COUNT(I25:L25)=1,COUNT(I26:L26)=1), (SUM(K25:K26) + (SUM(J25:J26)/2)) / COUNTBLANK(L25:L26), "Error - check cell values")</f>
        <v>#DIV/0!</v>
      </c>
      <c r="J28" s="50"/>
      <c r="K28" s="51" t="n">
        <f aca="false">COUNTBLANK(L25:L26)</f>
        <v>0</v>
      </c>
      <c r="L28" s="51" t="n">
        <f aca="false">ROWS(L25:L26)</f>
        <v>2</v>
      </c>
      <c r="M28" s="52" t="s">
        <v>88</v>
      </c>
      <c r="N28" s="50" t="e">
        <f aca="false">IF( AND(COUNT(N25:Q25)=1,COUNT(N26:Q26)=1), (SUM(P25:P26) + (SUM(O25:O26)/2)) / COUNTBLANK(Q25:Q26), "Error - check cell values")</f>
        <v>#DIV/0!</v>
      </c>
      <c r="O28" s="50"/>
      <c r="P28" s="51" t="n">
        <f aca="false">COUNTBLANK(Q25:Q26)</f>
        <v>0</v>
      </c>
      <c r="Q28" s="51" t="n">
        <f aca="false">ROWS(Q25:Q26)</f>
        <v>2</v>
      </c>
      <c r="R28" s="52" t="s">
        <v>88</v>
      </c>
      <c r="S28" s="50" t="e">
        <f aca="false">IF( AND(COUNT(S25:V25)=1,COUNT(S26:V26)=1), (SUM(U25:U26) + (SUM(T25:T26)/2)) / COUNTBLANK(V25:V26), "Error - check cell values")</f>
        <v>#DIV/0!</v>
      </c>
      <c r="T28" s="50"/>
      <c r="U28" s="51" t="n">
        <f aca="false">COUNTBLANK(V25:V26)</f>
        <v>0</v>
      </c>
      <c r="V28" s="51" t="n">
        <f aca="false">ROWS(V25:V26)</f>
        <v>2</v>
      </c>
      <c r="W28" s="53"/>
      <c r="X28" s="53"/>
      <c r="Y28" s="53"/>
      <c r="Z28" s="53"/>
      <c r="AA28" s="53"/>
      <c r="AB28" s="53"/>
      <c r="AC28" s="53"/>
      <c r="AD28" s="53"/>
      <c r="AE28" s="53"/>
      <c r="AF28" s="53"/>
      <c r="AG28" s="53"/>
      <c r="AH28" s="53"/>
      <c r="AI28" s="53"/>
      <c r="AJ28" s="53"/>
      <c r="AK28" s="53"/>
      <c r="AL28" s="53"/>
      <c r="AM28" s="53"/>
      <c r="AN28" s="53"/>
      <c r="AO28" s="53"/>
      <c r="AP28" s="53"/>
      <c r="AQ28" s="53"/>
    </row>
    <row r="29" customFormat="false" ht="41.75" hidden="false" customHeight="false" outlineLevel="0" collapsed="false">
      <c r="A29" s="17"/>
      <c r="B29" s="54"/>
      <c r="C29" s="54"/>
      <c r="D29" s="38" t="s">
        <v>77</v>
      </c>
      <c r="E29" s="38" t="s">
        <v>89</v>
      </c>
      <c r="F29" s="38" t="s">
        <v>78</v>
      </c>
      <c r="G29" s="38" t="s">
        <v>90</v>
      </c>
      <c r="H29" s="39"/>
      <c r="I29" s="38" t="s">
        <v>77</v>
      </c>
      <c r="J29" s="38" t="s">
        <v>89</v>
      </c>
      <c r="K29" s="38" t="s">
        <v>78</v>
      </c>
      <c r="L29" s="38" t="s">
        <v>90</v>
      </c>
      <c r="M29" s="39"/>
      <c r="N29" s="38" t="s">
        <v>77</v>
      </c>
      <c r="O29" s="38" t="s">
        <v>89</v>
      </c>
      <c r="P29" s="38" t="s">
        <v>78</v>
      </c>
      <c r="Q29" s="38" t="s">
        <v>90</v>
      </c>
      <c r="R29" s="39"/>
      <c r="S29" s="38" t="s">
        <v>77</v>
      </c>
      <c r="T29" s="38" t="s">
        <v>89</v>
      </c>
      <c r="U29" s="38" t="s">
        <v>78</v>
      </c>
      <c r="V29" s="38" t="s">
        <v>90</v>
      </c>
      <c r="W29" s="16"/>
      <c r="X29" s="16"/>
      <c r="Y29" s="16"/>
      <c r="Z29" s="16"/>
      <c r="AA29" s="16"/>
      <c r="AB29" s="16"/>
      <c r="AC29" s="16"/>
      <c r="AD29" s="16"/>
      <c r="AE29" s="16"/>
      <c r="AF29" s="16"/>
      <c r="AG29" s="16"/>
      <c r="AH29" s="16"/>
      <c r="AI29" s="16"/>
      <c r="AJ29" s="16"/>
      <c r="AK29" s="16"/>
      <c r="AL29" s="16"/>
      <c r="AM29" s="16"/>
      <c r="AN29" s="16"/>
      <c r="AO29" s="16"/>
      <c r="AP29" s="16"/>
      <c r="AQ29" s="16"/>
    </row>
    <row r="30" customFormat="false" ht="55.2" hidden="false" customHeight="true" outlineLevel="0" collapsed="false">
      <c r="A30" s="17"/>
      <c r="B30" s="40" t="s">
        <v>124</v>
      </c>
      <c r="C30" s="26" t="s">
        <v>125</v>
      </c>
      <c r="D30" s="22"/>
      <c r="E30" s="22"/>
      <c r="F30" s="22"/>
      <c r="G30" s="22" t="n">
        <v>1</v>
      </c>
      <c r="H30" s="26" t="s">
        <v>126</v>
      </c>
      <c r="I30" s="22"/>
      <c r="J30" s="22"/>
      <c r="K30" s="22"/>
      <c r="L30" s="22" t="n">
        <v>1</v>
      </c>
      <c r="M30" s="26" t="s">
        <v>127</v>
      </c>
      <c r="N30" s="22"/>
      <c r="O30" s="22"/>
      <c r="P30" s="22"/>
      <c r="Q30" s="22" t="n">
        <v>1</v>
      </c>
      <c r="R30" s="26" t="s">
        <v>128</v>
      </c>
      <c r="S30" s="22"/>
      <c r="T30" s="22"/>
      <c r="U30" s="22"/>
      <c r="V30" s="22" t="n">
        <v>1</v>
      </c>
      <c r="W30" s="16"/>
      <c r="X30" s="16"/>
      <c r="Y30" s="16"/>
      <c r="Z30" s="16"/>
      <c r="AA30" s="16"/>
      <c r="AB30" s="16"/>
      <c r="AC30" s="16"/>
      <c r="AD30" s="16"/>
      <c r="AE30" s="16"/>
      <c r="AF30" s="16"/>
      <c r="AG30" s="16"/>
      <c r="AH30" s="16"/>
      <c r="AI30" s="16"/>
      <c r="AJ30" s="16"/>
      <c r="AK30" s="16"/>
      <c r="AL30" s="16"/>
      <c r="AM30" s="16"/>
      <c r="AN30" s="16"/>
      <c r="AO30" s="16"/>
      <c r="AP30" s="16"/>
      <c r="AQ30" s="16"/>
    </row>
    <row r="31" customFormat="false" ht="82.05" hidden="false" customHeight="false" outlineLevel="0" collapsed="false">
      <c r="A31" s="17"/>
      <c r="B31" s="17"/>
      <c r="C31" s="42" t="s">
        <v>129</v>
      </c>
      <c r="D31" s="22"/>
      <c r="E31" s="22"/>
      <c r="F31" s="22"/>
      <c r="G31" s="22" t="n">
        <v>1</v>
      </c>
      <c r="H31" s="26" t="s">
        <v>130</v>
      </c>
      <c r="I31" s="22"/>
      <c r="J31" s="22"/>
      <c r="K31" s="22"/>
      <c r="L31" s="22" t="n">
        <v>1</v>
      </c>
      <c r="M31" s="26" t="s">
        <v>131</v>
      </c>
      <c r="N31" s="22"/>
      <c r="O31" s="22"/>
      <c r="P31" s="22"/>
      <c r="Q31" s="22" t="n">
        <v>1</v>
      </c>
      <c r="R31" s="26" t="s">
        <v>132</v>
      </c>
      <c r="S31" s="22"/>
      <c r="T31" s="22"/>
      <c r="U31" s="22"/>
      <c r="V31" s="22" t="n">
        <v>1</v>
      </c>
      <c r="W31" s="16"/>
      <c r="X31" s="16"/>
      <c r="Y31" s="16"/>
      <c r="Z31" s="16"/>
      <c r="AA31" s="16"/>
      <c r="AB31" s="16"/>
      <c r="AC31" s="16"/>
      <c r="AD31" s="16"/>
      <c r="AE31" s="16"/>
      <c r="AF31" s="16"/>
      <c r="AG31" s="16"/>
      <c r="AH31" s="16"/>
      <c r="AI31" s="16"/>
      <c r="AJ31" s="16"/>
      <c r="AK31" s="16"/>
      <c r="AL31" s="16"/>
      <c r="AM31" s="16"/>
      <c r="AN31" s="16"/>
      <c r="AO31" s="16"/>
      <c r="AP31" s="16"/>
      <c r="AQ31" s="16"/>
    </row>
    <row r="32" customFormat="false" ht="68.65" hidden="false" customHeight="false" outlineLevel="0" collapsed="false">
      <c r="A32" s="17"/>
      <c r="B32" s="17"/>
      <c r="C32" s="42" t="s">
        <v>133</v>
      </c>
      <c r="D32" s="22"/>
      <c r="E32" s="22"/>
      <c r="F32" s="22"/>
      <c r="G32" s="22" t="n">
        <v>1</v>
      </c>
      <c r="H32" s="26" t="s">
        <v>134</v>
      </c>
      <c r="I32" s="22"/>
      <c r="J32" s="22"/>
      <c r="K32" s="22"/>
      <c r="L32" s="22" t="n">
        <v>1</v>
      </c>
      <c r="M32" s="42" t="s">
        <v>135</v>
      </c>
      <c r="N32" s="22"/>
      <c r="O32" s="22"/>
      <c r="P32" s="22"/>
      <c r="Q32" s="22" t="n">
        <v>1</v>
      </c>
      <c r="R32" s="26" t="s">
        <v>136</v>
      </c>
      <c r="S32" s="22"/>
      <c r="T32" s="22"/>
      <c r="U32" s="22"/>
      <c r="V32" s="22" t="n">
        <v>1</v>
      </c>
      <c r="W32" s="16"/>
      <c r="X32" s="16"/>
      <c r="Y32" s="16"/>
      <c r="Z32" s="16"/>
      <c r="AA32" s="16"/>
      <c r="AB32" s="16"/>
      <c r="AC32" s="16"/>
      <c r="AD32" s="16"/>
      <c r="AE32" s="16"/>
      <c r="AF32" s="16"/>
      <c r="AG32" s="16"/>
      <c r="AH32" s="16"/>
      <c r="AI32" s="16"/>
      <c r="AJ32" s="16"/>
      <c r="AK32" s="16"/>
      <c r="AL32" s="16"/>
      <c r="AM32" s="16"/>
      <c r="AN32" s="16"/>
      <c r="AO32" s="16"/>
      <c r="AP32" s="16"/>
      <c r="AQ32" s="16"/>
    </row>
    <row r="33" customFormat="false" ht="41.75" hidden="false" customHeight="false" outlineLevel="0" collapsed="false">
      <c r="A33" s="17"/>
      <c r="B33" s="17"/>
      <c r="C33" s="42" t="s">
        <v>137</v>
      </c>
      <c r="D33" s="22"/>
      <c r="E33" s="22"/>
      <c r="F33" s="22"/>
      <c r="G33" s="22" t="n">
        <v>1</v>
      </c>
      <c r="H33" s="26" t="s">
        <v>138</v>
      </c>
      <c r="I33" s="22"/>
      <c r="J33" s="22"/>
      <c r="K33" s="22"/>
      <c r="L33" s="22" t="n">
        <v>1</v>
      </c>
      <c r="M33" s="42" t="s">
        <v>139</v>
      </c>
      <c r="N33" s="22"/>
      <c r="O33" s="22"/>
      <c r="P33" s="22"/>
      <c r="Q33" s="22" t="n">
        <v>1</v>
      </c>
      <c r="R33" s="26" t="s">
        <v>140</v>
      </c>
      <c r="S33" s="22"/>
      <c r="T33" s="22"/>
      <c r="U33" s="22"/>
      <c r="V33" s="22" t="n">
        <v>1</v>
      </c>
      <c r="W33" s="16"/>
      <c r="X33" s="16"/>
      <c r="Y33" s="16"/>
      <c r="Z33" s="16"/>
      <c r="AA33" s="16"/>
      <c r="AB33" s="16"/>
      <c r="AC33" s="16"/>
      <c r="AD33" s="16"/>
      <c r="AE33" s="16"/>
      <c r="AF33" s="16"/>
      <c r="AG33" s="16"/>
      <c r="AH33" s="16"/>
      <c r="AI33" s="16"/>
      <c r="AJ33" s="16"/>
      <c r="AK33" s="16"/>
      <c r="AL33" s="16"/>
      <c r="AM33" s="16"/>
      <c r="AN33" s="16"/>
      <c r="AO33" s="16"/>
      <c r="AP33" s="16"/>
      <c r="AQ33" s="16"/>
    </row>
    <row r="34" customFormat="false" ht="41.75" hidden="false" customHeight="false" outlineLevel="0" collapsed="false">
      <c r="A34" s="17"/>
      <c r="B34" s="17"/>
      <c r="C34" s="42" t="s">
        <v>141</v>
      </c>
      <c r="D34" s="22"/>
      <c r="E34" s="22"/>
      <c r="F34" s="22"/>
      <c r="G34" s="22" t="n">
        <v>1</v>
      </c>
      <c r="H34" s="26" t="s">
        <v>142</v>
      </c>
      <c r="I34" s="22"/>
      <c r="J34" s="22"/>
      <c r="K34" s="22"/>
      <c r="L34" s="22" t="n">
        <v>1</v>
      </c>
      <c r="M34" s="42" t="s">
        <v>143</v>
      </c>
      <c r="N34" s="22"/>
      <c r="O34" s="22"/>
      <c r="P34" s="22"/>
      <c r="Q34" s="22" t="n">
        <v>1</v>
      </c>
      <c r="R34" s="26" t="s">
        <v>144</v>
      </c>
      <c r="S34" s="22"/>
      <c r="T34" s="22"/>
      <c r="U34" s="22"/>
      <c r="V34" s="22" t="n">
        <v>1</v>
      </c>
      <c r="W34" s="16"/>
      <c r="X34" s="16"/>
      <c r="Y34" s="16"/>
      <c r="Z34" s="16"/>
      <c r="AA34" s="16"/>
      <c r="AB34" s="16"/>
      <c r="AC34" s="16"/>
      <c r="AD34" s="16"/>
      <c r="AE34" s="16"/>
      <c r="AF34" s="16"/>
      <c r="AG34" s="16"/>
      <c r="AH34" s="16"/>
      <c r="AI34" s="16"/>
      <c r="AJ34" s="16"/>
      <c r="AK34" s="16"/>
      <c r="AL34" s="16"/>
      <c r="AM34" s="16"/>
      <c r="AN34" s="16"/>
      <c r="AO34" s="16"/>
      <c r="AP34" s="16"/>
      <c r="AQ34" s="16"/>
    </row>
    <row r="35" customFormat="false" ht="82.05" hidden="false" customHeight="false" outlineLevel="0" collapsed="false">
      <c r="A35" s="17"/>
      <c r="B35" s="17"/>
      <c r="C35" s="27"/>
      <c r="D35" s="27"/>
      <c r="E35" s="27"/>
      <c r="F35" s="27"/>
      <c r="G35" s="27"/>
      <c r="H35" s="26" t="s">
        <v>145</v>
      </c>
      <c r="I35" s="22"/>
      <c r="J35" s="22"/>
      <c r="K35" s="22"/>
      <c r="L35" s="22" t="n">
        <v>1</v>
      </c>
      <c r="M35" s="42" t="s">
        <v>146</v>
      </c>
      <c r="N35" s="22"/>
      <c r="O35" s="22"/>
      <c r="P35" s="22"/>
      <c r="Q35" s="22" t="n">
        <v>1</v>
      </c>
      <c r="R35" s="55" t="s">
        <v>147</v>
      </c>
      <c r="S35" s="22"/>
      <c r="T35" s="22"/>
      <c r="U35" s="22"/>
      <c r="V35" s="22" t="n">
        <v>1</v>
      </c>
      <c r="W35" s="16"/>
      <c r="X35" s="16"/>
      <c r="Y35" s="16"/>
      <c r="Z35" s="16"/>
      <c r="AA35" s="16"/>
      <c r="AB35" s="16"/>
      <c r="AC35" s="16"/>
      <c r="AD35" s="16"/>
      <c r="AE35" s="16"/>
      <c r="AF35" s="16"/>
      <c r="AG35" s="16"/>
      <c r="AH35" s="16"/>
      <c r="AI35" s="16"/>
      <c r="AJ35" s="16"/>
      <c r="AK35" s="16"/>
      <c r="AL35" s="16"/>
      <c r="AM35" s="16"/>
      <c r="AN35" s="16"/>
      <c r="AO35" s="16"/>
      <c r="AP35" s="16"/>
      <c r="AQ35" s="16"/>
    </row>
    <row r="36" customFormat="false" ht="41.75" hidden="false" customHeight="false" outlineLevel="0" collapsed="false">
      <c r="A36" s="17"/>
      <c r="B36" s="17"/>
      <c r="C36" s="17"/>
      <c r="D36" s="27"/>
      <c r="E36" s="27"/>
      <c r="F36" s="27"/>
      <c r="G36" s="27"/>
      <c r="H36" s="56"/>
      <c r="I36" s="56"/>
      <c r="J36" s="56"/>
      <c r="K36" s="56"/>
      <c r="L36" s="56"/>
      <c r="M36" s="26" t="s">
        <v>148</v>
      </c>
      <c r="N36" s="22"/>
      <c r="O36" s="22"/>
      <c r="P36" s="22"/>
      <c r="Q36" s="22" t="n">
        <v>1</v>
      </c>
      <c r="R36" s="57"/>
      <c r="S36" s="57"/>
      <c r="T36" s="57"/>
      <c r="U36" s="57"/>
      <c r="V36" s="57"/>
      <c r="W36" s="16"/>
      <c r="X36" s="16"/>
      <c r="Y36" s="16"/>
      <c r="Z36" s="16"/>
      <c r="AA36" s="16"/>
      <c r="AB36" s="16"/>
      <c r="AC36" s="16"/>
      <c r="AD36" s="16"/>
      <c r="AE36" s="16"/>
      <c r="AF36" s="16"/>
      <c r="AG36" s="16"/>
      <c r="AH36" s="16"/>
      <c r="AI36" s="16"/>
      <c r="AJ36" s="16"/>
      <c r="AK36" s="16"/>
      <c r="AL36" s="16"/>
      <c r="AM36" s="16"/>
      <c r="AN36" s="16"/>
      <c r="AO36" s="16"/>
      <c r="AP36" s="16"/>
      <c r="AQ36" s="16"/>
    </row>
    <row r="37" customFormat="false" ht="61.15" hidden="false" customHeight="false" outlineLevel="0" collapsed="false">
      <c r="A37" s="17"/>
      <c r="B37" s="17"/>
      <c r="C37" s="17"/>
      <c r="D37" s="27"/>
      <c r="E37" s="27"/>
      <c r="F37" s="27"/>
      <c r="G37" s="27"/>
      <c r="H37" s="56"/>
      <c r="I37" s="56"/>
      <c r="J37" s="56"/>
      <c r="K37" s="56"/>
      <c r="L37" s="56"/>
      <c r="M37" s="58" t="s">
        <v>149</v>
      </c>
      <c r="N37" s="59"/>
      <c r="O37" s="59"/>
      <c r="P37" s="59"/>
      <c r="Q37" s="59" t="n">
        <v>1</v>
      </c>
      <c r="R37" s="57"/>
      <c r="S37" s="57"/>
      <c r="T37" s="57"/>
      <c r="U37" s="57"/>
      <c r="V37" s="57"/>
      <c r="W37" s="16"/>
      <c r="X37" s="16"/>
      <c r="Y37" s="16"/>
      <c r="Z37" s="16"/>
      <c r="AA37" s="16"/>
      <c r="AB37" s="16"/>
      <c r="AC37" s="16"/>
      <c r="AD37" s="16"/>
      <c r="AE37" s="16"/>
      <c r="AF37" s="16"/>
      <c r="AG37" s="16"/>
      <c r="AH37" s="16"/>
      <c r="AI37" s="16"/>
      <c r="AJ37" s="16"/>
      <c r="AK37" s="16"/>
      <c r="AL37" s="16"/>
      <c r="AM37" s="16"/>
      <c r="AN37" s="16"/>
      <c r="AO37" s="16"/>
      <c r="AP37" s="16"/>
      <c r="AQ37" s="16"/>
    </row>
    <row r="38" customFormat="false" ht="31.3" hidden="false" customHeight="false" outlineLevel="0" collapsed="false">
      <c r="A38" s="17"/>
      <c r="B38" s="17"/>
      <c r="C38" s="17"/>
      <c r="D38" s="27"/>
      <c r="E38" s="27"/>
      <c r="F38" s="27"/>
      <c r="G38" s="27"/>
      <c r="H38" s="56"/>
      <c r="I38" s="56"/>
      <c r="J38" s="56"/>
      <c r="K38" s="56"/>
      <c r="L38" s="56"/>
      <c r="M38" s="58" t="s">
        <v>150</v>
      </c>
      <c r="N38" s="59"/>
      <c r="O38" s="59"/>
      <c r="P38" s="59"/>
      <c r="Q38" s="59" t="n">
        <v>1</v>
      </c>
      <c r="R38" s="57"/>
      <c r="S38" s="57"/>
      <c r="T38" s="57"/>
      <c r="U38" s="57"/>
      <c r="V38" s="57"/>
      <c r="W38" s="16"/>
      <c r="X38" s="16"/>
      <c r="Y38" s="16"/>
      <c r="Z38" s="16"/>
      <c r="AA38" s="16"/>
      <c r="AB38" s="16"/>
      <c r="AC38" s="16"/>
      <c r="AD38" s="16"/>
      <c r="AE38" s="16"/>
      <c r="AF38" s="16"/>
      <c r="AG38" s="16"/>
      <c r="AH38" s="16"/>
      <c r="AI38" s="16"/>
      <c r="AJ38" s="16"/>
      <c r="AK38" s="16"/>
      <c r="AL38" s="16"/>
      <c r="AM38" s="16"/>
      <c r="AN38" s="16"/>
      <c r="AO38" s="16"/>
      <c r="AP38" s="16"/>
      <c r="AQ38" s="16"/>
    </row>
    <row r="39" customFormat="false" ht="15.75" hidden="false" customHeight="true" outlineLevel="0" collapsed="false">
      <c r="A39" s="60"/>
      <c r="B39" s="34" t="s">
        <v>88</v>
      </c>
      <c r="C39" s="34"/>
      <c r="D39" s="50" t="e">
        <f aca="false">IF( AND(COUNT(D30:G30)=1,COUNT(D31:G31)=1,COUNT(D32:G32)=1,COUNT(D33:G33)=1,COUNT(D34:G34)=1), (SUM(F30:F34) + (SUM(E30:E34)/2)) / COUNTBLANK(G30:G34), "Error - check cell values")</f>
        <v>#DIV/0!</v>
      </c>
      <c r="E39" s="50"/>
      <c r="F39" s="51" t="n">
        <f aca="false">COUNTBLANK(G30:G34)</f>
        <v>0</v>
      </c>
      <c r="G39" s="51" t="n">
        <f aca="false">ROWS(G30:G34)</f>
        <v>5</v>
      </c>
      <c r="H39" s="52" t="s">
        <v>88</v>
      </c>
      <c r="I39" s="50" t="e">
        <f aca="false">IF( AND(COUNT(I30:L30)=1,COUNT(I31:L31)=1,COUNT(I32:L32)=1,COUNT(I33:L33)=1,COUNT(I34:L34)=1,COUNT(I35:L35)=1), (SUM(K30:K35) + (SUM(J30:J35)/2)) / COUNTBLANK(L30:L35), "Error - check cell values")</f>
        <v>#DIV/0!</v>
      </c>
      <c r="J39" s="50"/>
      <c r="K39" s="51" t="n">
        <f aca="false">COUNTBLANK(L30:L35)</f>
        <v>0</v>
      </c>
      <c r="L39" s="51" t="n">
        <f aca="false">ROWS(L30:L35)</f>
        <v>6</v>
      </c>
      <c r="M39" s="52" t="s">
        <v>88</v>
      </c>
      <c r="N39" s="50" t="e">
        <f aca="false">IF( AND(COUNT(N30:Q30)=1,COUNT(N31:Q31)=1,COUNT(N32:Q32)=1,COUNT(N33:Q33)=1,COUNT(N34:Q34)=1,COUNT(N35:Q35)=1,COUNT(N36:Q36)=1,COUNT(N37:Q37)=1,COUNT(N38:Q38)=1), (SUM(P30:P38) + (SUM(O30:O38)/2)) / COUNTBLANK(Q30:Q38), "Error - check cell values")</f>
        <v>#DIV/0!</v>
      </c>
      <c r="O39" s="50"/>
      <c r="P39" s="51" t="n">
        <f aca="false">COUNTBLANK(Q30:Q38)</f>
        <v>0</v>
      </c>
      <c r="Q39" s="51" t="n">
        <f aca="false">ROWS(Q30:Q38)</f>
        <v>9</v>
      </c>
      <c r="R39" s="61" t="s">
        <v>88</v>
      </c>
      <c r="S39" s="50" t="e">
        <f aca="false">IF( AND(COUNT(S30:V30)=1,COUNT(S31:V31)=1,COUNT(S32:V32)=1,COUNT(S33:V33)=1,COUNT(S34:V34)=1,COUNT(S35:V35)=1), (SUM(U30:U35) + (SUM(T30:T35)/2)) / COUNTBLANK(V30:V35), "Error - check cell values")</f>
        <v>#DIV/0!</v>
      </c>
      <c r="T39" s="50"/>
      <c r="U39" s="51" t="n">
        <f aca="false">COUNTBLANK(V30:V35)</f>
        <v>0</v>
      </c>
      <c r="V39" s="51" t="n">
        <f aca="false">ROWS(V30:V35)</f>
        <v>6</v>
      </c>
      <c r="W39" s="16"/>
      <c r="X39" s="16"/>
      <c r="Y39" s="16"/>
      <c r="Z39" s="16"/>
      <c r="AA39" s="16"/>
      <c r="AB39" s="16"/>
      <c r="AC39" s="16"/>
      <c r="AD39" s="16"/>
      <c r="AE39" s="16"/>
      <c r="AF39" s="16"/>
      <c r="AG39" s="16"/>
      <c r="AH39" s="16"/>
      <c r="AI39" s="16"/>
      <c r="AJ39" s="16"/>
      <c r="AK39" s="16"/>
      <c r="AL39" s="16"/>
      <c r="AM39" s="16"/>
      <c r="AN39" s="16"/>
      <c r="AO39" s="16"/>
      <c r="AP39" s="16"/>
      <c r="AQ39" s="16"/>
    </row>
    <row r="40" customFormat="false" ht="41.75" hidden="false" customHeight="false" outlineLevel="0" collapsed="false">
      <c r="A40" s="62"/>
      <c r="B40" s="63"/>
      <c r="C40" s="63"/>
      <c r="D40" s="38" t="s">
        <v>77</v>
      </c>
      <c r="E40" s="38" t="s">
        <v>89</v>
      </c>
      <c r="F40" s="38" t="s">
        <v>78</v>
      </c>
      <c r="G40" s="38" t="s">
        <v>90</v>
      </c>
      <c r="H40" s="39"/>
      <c r="I40" s="38" t="s">
        <v>77</v>
      </c>
      <c r="J40" s="38" t="s">
        <v>89</v>
      </c>
      <c r="K40" s="38" t="s">
        <v>78</v>
      </c>
      <c r="L40" s="38" t="s">
        <v>90</v>
      </c>
      <c r="M40" s="39"/>
      <c r="N40" s="38" t="s">
        <v>77</v>
      </c>
      <c r="O40" s="38" t="s">
        <v>89</v>
      </c>
      <c r="P40" s="38" t="s">
        <v>78</v>
      </c>
      <c r="Q40" s="38" t="s">
        <v>90</v>
      </c>
      <c r="R40" s="39"/>
      <c r="S40" s="38" t="s">
        <v>77</v>
      </c>
      <c r="T40" s="38" t="s">
        <v>89</v>
      </c>
      <c r="U40" s="38" t="s">
        <v>78</v>
      </c>
      <c r="V40" s="38" t="s">
        <v>90</v>
      </c>
      <c r="W40" s="16"/>
      <c r="X40" s="16"/>
      <c r="Y40" s="16"/>
      <c r="Z40" s="16"/>
      <c r="AA40" s="16"/>
      <c r="AB40" s="16"/>
      <c r="AC40" s="16"/>
      <c r="AD40" s="16"/>
      <c r="AE40" s="16"/>
      <c r="AF40" s="16"/>
      <c r="AG40" s="16"/>
      <c r="AH40" s="16"/>
      <c r="AI40" s="16"/>
      <c r="AJ40" s="16"/>
      <c r="AK40" s="16"/>
      <c r="AL40" s="16"/>
      <c r="AM40" s="16"/>
      <c r="AN40" s="16"/>
      <c r="AO40" s="16"/>
      <c r="AP40" s="16"/>
      <c r="AQ40" s="16"/>
    </row>
    <row r="41" customFormat="false" ht="68.65" hidden="false" customHeight="true" outlineLevel="0" collapsed="false">
      <c r="A41" s="17" t="s">
        <v>151</v>
      </c>
      <c r="B41" s="40" t="s">
        <v>152</v>
      </c>
      <c r="C41" s="42" t="s">
        <v>153</v>
      </c>
      <c r="D41" s="22"/>
      <c r="E41" s="22"/>
      <c r="F41" s="22"/>
      <c r="G41" s="22" t="n">
        <v>1</v>
      </c>
      <c r="H41" s="26" t="s">
        <v>154</v>
      </c>
      <c r="I41" s="22"/>
      <c r="J41" s="22"/>
      <c r="K41" s="22"/>
      <c r="L41" s="22" t="n">
        <v>1</v>
      </c>
      <c r="M41" s="26" t="s">
        <v>155</v>
      </c>
      <c r="N41" s="22"/>
      <c r="O41" s="22"/>
      <c r="P41" s="22"/>
      <c r="Q41" s="22" t="n">
        <v>1</v>
      </c>
      <c r="R41" s="26" t="s">
        <v>156</v>
      </c>
      <c r="S41" s="22"/>
      <c r="T41" s="22"/>
      <c r="U41" s="22"/>
      <c r="V41" s="22" t="n">
        <v>1</v>
      </c>
      <c r="W41" s="16"/>
      <c r="X41" s="16"/>
      <c r="Y41" s="16"/>
      <c r="Z41" s="16"/>
      <c r="AA41" s="16"/>
      <c r="AB41" s="16"/>
      <c r="AC41" s="16"/>
      <c r="AD41" s="16"/>
      <c r="AE41" s="16"/>
      <c r="AF41" s="16"/>
      <c r="AG41" s="16"/>
      <c r="AH41" s="16"/>
      <c r="AI41" s="16"/>
      <c r="AJ41" s="16"/>
      <c r="AK41" s="16"/>
      <c r="AL41" s="16"/>
      <c r="AM41" s="16"/>
      <c r="AN41" s="16"/>
      <c r="AO41" s="16"/>
      <c r="AP41" s="16"/>
      <c r="AQ41" s="16"/>
    </row>
    <row r="42" customFormat="false" ht="55.2" hidden="false" customHeight="false" outlineLevel="0" collapsed="false">
      <c r="A42" s="17"/>
      <c r="B42" s="17"/>
      <c r="C42" s="42" t="s">
        <v>157</v>
      </c>
      <c r="D42" s="22"/>
      <c r="E42" s="22"/>
      <c r="F42" s="22"/>
      <c r="G42" s="22" t="n">
        <v>1</v>
      </c>
      <c r="H42" s="26" t="s">
        <v>158</v>
      </c>
      <c r="I42" s="22"/>
      <c r="J42" s="22"/>
      <c r="K42" s="22"/>
      <c r="L42" s="22" t="n">
        <v>1</v>
      </c>
      <c r="M42" s="26" t="s">
        <v>159</v>
      </c>
      <c r="N42" s="22"/>
      <c r="O42" s="22"/>
      <c r="P42" s="22"/>
      <c r="Q42" s="22" t="n">
        <v>1</v>
      </c>
      <c r="R42" s="46" t="s">
        <v>160</v>
      </c>
      <c r="S42" s="22"/>
      <c r="T42" s="22"/>
      <c r="U42" s="22"/>
      <c r="V42" s="22" t="n">
        <v>1</v>
      </c>
      <c r="W42" s="16"/>
      <c r="X42" s="16"/>
      <c r="Y42" s="16"/>
      <c r="Z42" s="16"/>
      <c r="AA42" s="16"/>
      <c r="AB42" s="16"/>
      <c r="AC42" s="16"/>
      <c r="AD42" s="16"/>
      <c r="AE42" s="16"/>
      <c r="AF42" s="16"/>
      <c r="AG42" s="16"/>
      <c r="AH42" s="16"/>
      <c r="AI42" s="16"/>
      <c r="AJ42" s="16"/>
      <c r="AK42" s="16"/>
      <c r="AL42" s="16"/>
      <c r="AM42" s="16"/>
      <c r="AN42" s="16"/>
      <c r="AO42" s="16"/>
      <c r="AP42" s="16"/>
      <c r="AQ42" s="16"/>
    </row>
    <row r="43" customFormat="false" ht="30" hidden="false" customHeight="true" outlineLevel="0" collapsed="false">
      <c r="A43" s="17"/>
      <c r="B43" s="17"/>
      <c r="C43" s="27"/>
      <c r="D43" s="27"/>
      <c r="E43" s="27"/>
      <c r="F43" s="27"/>
      <c r="G43" s="27"/>
      <c r="H43" s="26" t="s">
        <v>161</v>
      </c>
      <c r="I43" s="22"/>
      <c r="J43" s="22"/>
      <c r="K43" s="22"/>
      <c r="L43" s="22" t="n">
        <v>1</v>
      </c>
      <c r="M43" s="26" t="s">
        <v>162</v>
      </c>
      <c r="N43" s="22"/>
      <c r="O43" s="22"/>
      <c r="P43" s="22"/>
      <c r="Q43" s="22" t="n">
        <v>1</v>
      </c>
      <c r="R43" s="26" t="s">
        <v>163</v>
      </c>
      <c r="S43" s="22"/>
      <c r="T43" s="22"/>
      <c r="U43" s="22"/>
      <c r="V43" s="22" t="n">
        <v>1</v>
      </c>
      <c r="W43" s="16"/>
      <c r="X43" s="16"/>
      <c r="Y43" s="16"/>
      <c r="Z43" s="16"/>
      <c r="AA43" s="16"/>
      <c r="AB43" s="16"/>
      <c r="AC43" s="16"/>
      <c r="AD43" s="16"/>
      <c r="AE43" s="16"/>
      <c r="AF43" s="16"/>
      <c r="AG43" s="16"/>
      <c r="AH43" s="16"/>
      <c r="AI43" s="16"/>
      <c r="AJ43" s="16"/>
      <c r="AK43" s="16"/>
      <c r="AL43" s="16"/>
      <c r="AM43" s="16"/>
      <c r="AN43" s="16"/>
      <c r="AO43" s="16"/>
      <c r="AP43" s="16"/>
      <c r="AQ43" s="16"/>
    </row>
    <row r="44" customFormat="false" ht="30" hidden="false" customHeight="true" outlineLevel="0" collapsed="false">
      <c r="A44" s="17"/>
      <c r="B44" s="17"/>
      <c r="C44" s="17"/>
      <c r="D44" s="27"/>
      <c r="E44" s="27"/>
      <c r="F44" s="27"/>
      <c r="G44" s="27"/>
      <c r="H44" s="27"/>
      <c r="I44" s="27"/>
      <c r="J44" s="27"/>
      <c r="K44" s="27"/>
      <c r="L44" s="27"/>
      <c r="M44" s="26" t="s">
        <v>164</v>
      </c>
      <c r="N44" s="22"/>
      <c r="O44" s="22"/>
      <c r="P44" s="22"/>
      <c r="Q44" s="22" t="n">
        <v>1</v>
      </c>
      <c r="R44" s="26" t="s">
        <v>165</v>
      </c>
      <c r="S44" s="22"/>
      <c r="T44" s="22"/>
      <c r="U44" s="22"/>
      <c r="V44" s="22" t="n">
        <v>1</v>
      </c>
      <c r="W44" s="16"/>
      <c r="X44" s="16"/>
      <c r="Y44" s="16"/>
      <c r="Z44" s="16"/>
      <c r="AA44" s="16"/>
      <c r="AB44" s="16"/>
      <c r="AC44" s="16"/>
      <c r="AD44" s="16"/>
      <c r="AE44" s="16"/>
      <c r="AF44" s="16"/>
      <c r="AG44" s="16"/>
      <c r="AH44" s="16"/>
      <c r="AI44" s="16"/>
      <c r="AJ44" s="16"/>
      <c r="AK44" s="16"/>
      <c r="AL44" s="16"/>
      <c r="AM44" s="16"/>
      <c r="AN44" s="16"/>
      <c r="AO44" s="16"/>
      <c r="AP44" s="16"/>
      <c r="AQ44" s="16"/>
    </row>
    <row r="45" customFormat="false" ht="30.75" hidden="false" customHeight="true" outlineLevel="0" collapsed="false">
      <c r="A45" s="17"/>
      <c r="B45" s="17"/>
      <c r="C45" s="17"/>
      <c r="D45" s="27"/>
      <c r="E45" s="27"/>
      <c r="F45" s="27"/>
      <c r="G45" s="27"/>
      <c r="H45" s="27"/>
      <c r="I45" s="27"/>
      <c r="J45" s="27"/>
      <c r="K45" s="27"/>
      <c r="L45" s="27"/>
      <c r="M45" s="26" t="s">
        <v>166</v>
      </c>
      <c r="N45" s="22"/>
      <c r="O45" s="22"/>
      <c r="P45" s="22"/>
      <c r="Q45" s="22" t="n">
        <v>1</v>
      </c>
      <c r="R45" s="26" t="s">
        <v>167</v>
      </c>
      <c r="S45" s="22"/>
      <c r="T45" s="22"/>
      <c r="U45" s="22"/>
      <c r="V45" s="22" t="n">
        <v>1</v>
      </c>
      <c r="W45" s="16"/>
      <c r="X45" s="16"/>
      <c r="Y45" s="16"/>
      <c r="Z45" s="16"/>
      <c r="AA45" s="16"/>
      <c r="AB45" s="16"/>
      <c r="AC45" s="16"/>
      <c r="AD45" s="16"/>
      <c r="AE45" s="16"/>
      <c r="AF45" s="16"/>
      <c r="AG45" s="16"/>
      <c r="AH45" s="16"/>
      <c r="AI45" s="16"/>
      <c r="AJ45" s="16"/>
      <c r="AK45" s="16"/>
      <c r="AL45" s="16"/>
      <c r="AM45" s="16"/>
      <c r="AN45" s="16"/>
      <c r="AO45" s="16"/>
      <c r="AP45" s="16"/>
      <c r="AQ45" s="16"/>
    </row>
    <row r="46" customFormat="false" ht="61.15" hidden="false" customHeight="false" outlineLevel="0" collapsed="false">
      <c r="A46" s="17"/>
      <c r="B46" s="17"/>
      <c r="C46" s="17"/>
      <c r="D46" s="27"/>
      <c r="E46" s="27"/>
      <c r="F46" s="27"/>
      <c r="G46" s="27"/>
      <c r="H46" s="27"/>
      <c r="I46" s="27"/>
      <c r="J46" s="27"/>
      <c r="K46" s="27"/>
      <c r="L46" s="27"/>
      <c r="M46" s="58" t="s">
        <v>168</v>
      </c>
      <c r="N46" s="59"/>
      <c r="O46" s="59"/>
      <c r="P46" s="59"/>
      <c r="Q46" s="59" t="n">
        <v>1</v>
      </c>
      <c r="R46" s="26" t="s">
        <v>169</v>
      </c>
      <c r="S46" s="22"/>
      <c r="T46" s="22"/>
      <c r="U46" s="22"/>
      <c r="V46" s="22" t="n">
        <v>1</v>
      </c>
      <c r="W46" s="16"/>
      <c r="X46" s="16"/>
      <c r="Y46" s="16"/>
      <c r="Z46" s="16"/>
      <c r="AA46" s="16"/>
      <c r="AB46" s="16"/>
      <c r="AC46" s="16"/>
      <c r="AD46" s="16"/>
      <c r="AE46" s="16"/>
      <c r="AF46" s="16"/>
      <c r="AG46" s="16"/>
      <c r="AH46" s="16"/>
      <c r="AI46" s="16"/>
      <c r="AJ46" s="16"/>
      <c r="AK46" s="16"/>
      <c r="AL46" s="16"/>
      <c r="AM46" s="16"/>
      <c r="AN46" s="16"/>
      <c r="AO46" s="16"/>
      <c r="AP46" s="16"/>
      <c r="AQ46" s="16"/>
    </row>
    <row r="47" customFormat="false" ht="15.75" hidden="false" customHeight="true" outlineLevel="0" collapsed="false">
      <c r="A47" s="52"/>
      <c r="B47" s="34" t="s">
        <v>88</v>
      </c>
      <c r="C47" s="34"/>
      <c r="D47" s="50" t="e">
        <f aca="false">IF( AND(COUNT(D41:G41)=1,COUNT(D42:G42)=1), (SUM(F41:F42) + (SUM(E41:E42)/2)) / COUNTBLANK(G41:G42), "Error - check cell values")</f>
        <v>#DIV/0!</v>
      </c>
      <c r="E47" s="50"/>
      <c r="F47" s="51" t="n">
        <f aca="false">COUNTBLANK(G41:G42)</f>
        <v>0</v>
      </c>
      <c r="G47" s="51" t="n">
        <f aca="false">ROWS(G41:G42)</f>
        <v>2</v>
      </c>
      <c r="H47" s="52" t="s">
        <v>88</v>
      </c>
      <c r="I47" s="50" t="e">
        <f aca="false">IF( AND(COUNT(I41:L41)=1,COUNT(I42:L42)=1,COUNT(I43:L43)=1), (SUM(K41:K43) + (SUM(J41:J43)/2)) / COUNTBLANK(L41:L43), "Error - check cell values")</f>
        <v>#DIV/0!</v>
      </c>
      <c r="J47" s="50"/>
      <c r="K47" s="51" t="n">
        <f aca="false">COUNTBLANK(L41:L43)</f>
        <v>0</v>
      </c>
      <c r="L47" s="51" t="n">
        <f aca="false">ROWS(L41:L43)</f>
        <v>3</v>
      </c>
      <c r="M47" s="52" t="s">
        <v>88</v>
      </c>
      <c r="N47" s="50" t="e">
        <f aca="false">IF( AND(COUNT(N41:Q41)=1,COUNT(N42:Q42)=1,COUNT(N43:Q43)=1,COUNT(N44:Q44)=1,COUNT(N45:Q45)=1,COUNT(N46:Q46)=1), (SUM(P41:P46) + (SUM(O41:O46)/2)) / COUNTBLANK(Q41:Q46), "Error - check cell values")</f>
        <v>#DIV/0!</v>
      </c>
      <c r="O47" s="50"/>
      <c r="P47" s="51" t="n">
        <f aca="false">COUNTBLANK(Q41:Q46)</f>
        <v>0</v>
      </c>
      <c r="Q47" s="51" t="n">
        <f aca="false">ROWS(Q41:Q46)</f>
        <v>6</v>
      </c>
      <c r="R47" s="61" t="s">
        <v>88</v>
      </c>
      <c r="S47" s="50" t="e">
        <f aca="false">IF( AND(COUNT(S41:V41)=1,COUNT(S42:V42)=1,COUNT(S43:V43)=1,COUNT(S44:V44)=1,COUNT(S45:V45)=1,COUNT(S46:V46)=1), (SUM(U41:U46) + (SUM(T41:T46)/2)) / COUNTBLANK(V41:V46), "Error - check cell values")</f>
        <v>#DIV/0!</v>
      </c>
      <c r="T47" s="50"/>
      <c r="U47" s="51" t="n">
        <f aca="false">COUNTBLANK(V41:V46)</f>
        <v>0</v>
      </c>
      <c r="V47" s="51" t="n">
        <f aca="false">ROWS(V41:V46)</f>
        <v>6</v>
      </c>
      <c r="W47" s="16"/>
      <c r="X47" s="16"/>
      <c r="Y47" s="16"/>
      <c r="Z47" s="16"/>
      <c r="AA47" s="16"/>
      <c r="AB47" s="16"/>
      <c r="AC47" s="16"/>
      <c r="AD47" s="16"/>
      <c r="AE47" s="16"/>
      <c r="AF47" s="16"/>
      <c r="AG47" s="16"/>
      <c r="AH47" s="16"/>
      <c r="AI47" s="16"/>
      <c r="AJ47" s="16"/>
      <c r="AK47" s="16"/>
      <c r="AL47" s="16"/>
      <c r="AM47" s="16"/>
      <c r="AN47" s="16"/>
      <c r="AO47" s="16"/>
      <c r="AP47" s="16"/>
      <c r="AQ47" s="16"/>
    </row>
    <row r="48" customFormat="false" ht="41.75" hidden="false" customHeight="false" outlineLevel="0" collapsed="false">
      <c r="A48" s="38"/>
      <c r="B48" s="54"/>
      <c r="C48" s="54"/>
      <c r="D48" s="38" t="s">
        <v>77</v>
      </c>
      <c r="E48" s="38" t="s">
        <v>89</v>
      </c>
      <c r="F48" s="38" t="s">
        <v>78</v>
      </c>
      <c r="G48" s="38" t="s">
        <v>90</v>
      </c>
      <c r="H48" s="39"/>
      <c r="I48" s="38" t="s">
        <v>77</v>
      </c>
      <c r="J48" s="38" t="s">
        <v>89</v>
      </c>
      <c r="K48" s="38" t="s">
        <v>78</v>
      </c>
      <c r="L48" s="38" t="s">
        <v>90</v>
      </c>
      <c r="M48" s="39"/>
      <c r="N48" s="38" t="s">
        <v>77</v>
      </c>
      <c r="O48" s="38" t="s">
        <v>89</v>
      </c>
      <c r="P48" s="38" t="s">
        <v>78</v>
      </c>
      <c r="Q48" s="38" t="s">
        <v>90</v>
      </c>
      <c r="R48" s="39"/>
      <c r="S48" s="38" t="s">
        <v>77</v>
      </c>
      <c r="T48" s="38" t="s">
        <v>89</v>
      </c>
      <c r="U48" s="38" t="s">
        <v>78</v>
      </c>
      <c r="V48" s="38" t="s">
        <v>90</v>
      </c>
      <c r="W48" s="16"/>
      <c r="X48" s="16"/>
      <c r="Y48" s="16"/>
      <c r="Z48" s="16"/>
      <c r="AA48" s="16"/>
      <c r="AB48" s="16"/>
      <c r="AC48" s="16"/>
      <c r="AD48" s="16"/>
      <c r="AE48" s="16"/>
      <c r="AF48" s="16"/>
      <c r="AG48" s="16"/>
      <c r="AH48" s="16"/>
      <c r="AI48" s="16"/>
      <c r="AJ48" s="16"/>
      <c r="AK48" s="16"/>
      <c r="AL48" s="16"/>
      <c r="AM48" s="16"/>
      <c r="AN48" s="16"/>
      <c r="AO48" s="16"/>
      <c r="AP48" s="16"/>
      <c r="AQ48" s="16"/>
    </row>
    <row r="49" customFormat="false" ht="41.75" hidden="false" customHeight="true" outlineLevel="0" collapsed="false">
      <c r="A49" s="17" t="s">
        <v>170</v>
      </c>
      <c r="B49" s="28" t="s">
        <v>171</v>
      </c>
      <c r="C49" s="26" t="s">
        <v>172</v>
      </c>
      <c r="D49" s="22"/>
      <c r="E49" s="22"/>
      <c r="F49" s="22"/>
      <c r="G49" s="22" t="n">
        <v>1</v>
      </c>
      <c r="H49" s="26" t="s">
        <v>173</v>
      </c>
      <c r="I49" s="22"/>
      <c r="J49" s="22"/>
      <c r="K49" s="22"/>
      <c r="L49" s="22" t="n">
        <v>1</v>
      </c>
      <c r="M49" s="26" t="s">
        <v>174</v>
      </c>
      <c r="N49" s="22"/>
      <c r="O49" s="22"/>
      <c r="P49" s="22"/>
      <c r="Q49" s="22" t="n">
        <v>1</v>
      </c>
      <c r="R49" s="46" t="s">
        <v>175</v>
      </c>
      <c r="S49" s="22"/>
      <c r="T49" s="22"/>
      <c r="U49" s="22"/>
      <c r="V49" s="22" t="n">
        <v>1</v>
      </c>
      <c r="W49" s="16"/>
      <c r="X49" s="16"/>
      <c r="Y49" s="16"/>
      <c r="Z49" s="16"/>
      <c r="AA49" s="16"/>
      <c r="AB49" s="16"/>
      <c r="AC49" s="16"/>
      <c r="AD49" s="16"/>
      <c r="AE49" s="16"/>
      <c r="AF49" s="16"/>
      <c r="AG49" s="16"/>
      <c r="AH49" s="16"/>
      <c r="AI49" s="16"/>
      <c r="AJ49" s="16"/>
      <c r="AK49" s="16"/>
      <c r="AL49" s="16"/>
      <c r="AM49" s="16"/>
      <c r="AN49" s="16"/>
      <c r="AO49" s="16"/>
      <c r="AP49" s="16"/>
      <c r="AQ49" s="16"/>
    </row>
    <row r="50" customFormat="false" ht="55.2" hidden="false" customHeight="false" outlineLevel="0" collapsed="false">
      <c r="A50" s="17"/>
      <c r="B50" s="17"/>
      <c r="C50" s="26" t="s">
        <v>176</v>
      </c>
      <c r="D50" s="22"/>
      <c r="E50" s="22"/>
      <c r="F50" s="22"/>
      <c r="G50" s="22" t="n">
        <v>1</v>
      </c>
      <c r="H50" s="26" t="s">
        <v>177</v>
      </c>
      <c r="I50" s="22"/>
      <c r="J50" s="22"/>
      <c r="K50" s="22"/>
      <c r="L50" s="22" t="n">
        <v>1</v>
      </c>
      <c r="M50" s="26" t="s">
        <v>178</v>
      </c>
      <c r="N50" s="22"/>
      <c r="O50" s="22"/>
      <c r="P50" s="22"/>
      <c r="Q50" s="22" t="n">
        <v>1</v>
      </c>
      <c r="R50" s="46" t="s">
        <v>179</v>
      </c>
      <c r="S50" s="22"/>
      <c r="T50" s="22"/>
      <c r="U50" s="22"/>
      <c r="V50" s="22" t="n">
        <v>1</v>
      </c>
      <c r="W50" s="16"/>
      <c r="X50" s="16"/>
      <c r="Y50" s="16"/>
      <c r="Z50" s="16"/>
      <c r="AA50" s="16"/>
      <c r="AB50" s="16"/>
      <c r="AC50" s="16"/>
      <c r="AD50" s="16"/>
      <c r="AE50" s="16"/>
      <c r="AF50" s="16"/>
      <c r="AG50" s="16"/>
      <c r="AH50" s="16"/>
      <c r="AI50" s="16"/>
      <c r="AJ50" s="16"/>
      <c r="AK50" s="16"/>
      <c r="AL50" s="16"/>
      <c r="AM50" s="16"/>
      <c r="AN50" s="16"/>
      <c r="AO50" s="16"/>
      <c r="AP50" s="16"/>
      <c r="AQ50" s="16"/>
    </row>
    <row r="51" customFormat="false" ht="55.2" hidden="false" customHeight="false" outlineLevel="0" collapsed="false">
      <c r="A51" s="17"/>
      <c r="B51" s="17"/>
      <c r="C51" s="26" t="s">
        <v>180</v>
      </c>
      <c r="D51" s="22"/>
      <c r="E51" s="22"/>
      <c r="F51" s="22"/>
      <c r="G51" s="22" t="n">
        <v>1</v>
      </c>
      <c r="H51" s="26" t="s">
        <v>181</v>
      </c>
      <c r="I51" s="22"/>
      <c r="J51" s="22"/>
      <c r="K51" s="22"/>
      <c r="L51" s="22" t="n">
        <v>1</v>
      </c>
      <c r="M51" s="26" t="s">
        <v>182</v>
      </c>
      <c r="N51" s="22"/>
      <c r="O51" s="22"/>
      <c r="P51" s="22"/>
      <c r="Q51" s="22" t="n">
        <v>1</v>
      </c>
      <c r="R51" s="26" t="s">
        <v>183</v>
      </c>
      <c r="S51" s="22"/>
      <c r="T51" s="22"/>
      <c r="U51" s="22"/>
      <c r="V51" s="22" t="n">
        <v>1</v>
      </c>
      <c r="W51" s="16"/>
      <c r="X51" s="16"/>
      <c r="Y51" s="16"/>
      <c r="Z51" s="16"/>
      <c r="AA51" s="16"/>
      <c r="AB51" s="16"/>
      <c r="AC51" s="16"/>
      <c r="AD51" s="16"/>
      <c r="AE51" s="16"/>
      <c r="AF51" s="16"/>
      <c r="AG51" s="16"/>
      <c r="AH51" s="16"/>
      <c r="AI51" s="16"/>
      <c r="AJ51" s="16"/>
      <c r="AK51" s="16"/>
      <c r="AL51" s="16"/>
      <c r="AM51" s="16"/>
      <c r="AN51" s="16"/>
      <c r="AO51" s="16"/>
      <c r="AP51" s="16"/>
      <c r="AQ51" s="16"/>
    </row>
    <row r="52" customFormat="false" ht="55.2" hidden="false" customHeight="false" outlineLevel="0" collapsed="false">
      <c r="A52" s="17"/>
      <c r="B52" s="17"/>
      <c r="C52" s="26" t="s">
        <v>184</v>
      </c>
      <c r="D52" s="22"/>
      <c r="E52" s="22"/>
      <c r="F52" s="22"/>
      <c r="G52" s="22" t="n">
        <v>1</v>
      </c>
      <c r="H52" s="26" t="s">
        <v>185</v>
      </c>
      <c r="I52" s="22"/>
      <c r="J52" s="22"/>
      <c r="K52" s="22"/>
      <c r="L52" s="22" t="n">
        <v>1</v>
      </c>
      <c r="M52" s="26" t="s">
        <v>186</v>
      </c>
      <c r="N52" s="22"/>
      <c r="O52" s="22"/>
      <c r="P52" s="22"/>
      <c r="Q52" s="22" t="n">
        <v>1</v>
      </c>
      <c r="R52" s="26" t="s">
        <v>187</v>
      </c>
      <c r="S52" s="22"/>
      <c r="T52" s="22"/>
      <c r="U52" s="22"/>
      <c r="V52" s="22" t="n">
        <v>1</v>
      </c>
      <c r="W52" s="16"/>
      <c r="X52" s="16"/>
      <c r="Y52" s="16"/>
      <c r="Z52" s="16"/>
      <c r="AA52" s="16"/>
      <c r="AB52" s="16"/>
      <c r="AC52" s="16"/>
      <c r="AD52" s="16"/>
      <c r="AE52" s="16"/>
      <c r="AF52" s="16"/>
      <c r="AG52" s="16"/>
      <c r="AH52" s="16"/>
      <c r="AI52" s="16"/>
      <c r="AJ52" s="16"/>
      <c r="AK52" s="16"/>
      <c r="AL52" s="16"/>
      <c r="AM52" s="16"/>
      <c r="AN52" s="16"/>
      <c r="AO52" s="16"/>
      <c r="AP52" s="16"/>
      <c r="AQ52" s="16"/>
    </row>
    <row r="53" customFormat="false" ht="41.75" hidden="false" customHeight="false" outlineLevel="0" collapsed="false">
      <c r="A53" s="17"/>
      <c r="B53" s="17"/>
      <c r="C53" s="27"/>
      <c r="D53" s="27"/>
      <c r="E53" s="27"/>
      <c r="F53" s="27"/>
      <c r="G53" s="27"/>
      <c r="H53" s="26" t="s">
        <v>188</v>
      </c>
      <c r="I53" s="22"/>
      <c r="J53" s="22"/>
      <c r="K53" s="22"/>
      <c r="L53" s="22" t="n">
        <v>1</v>
      </c>
      <c r="M53" s="26" t="s">
        <v>189</v>
      </c>
      <c r="N53" s="22"/>
      <c r="O53" s="22"/>
      <c r="P53" s="22"/>
      <c r="Q53" s="22" t="n">
        <v>1</v>
      </c>
      <c r="R53" s="26" t="s">
        <v>189</v>
      </c>
      <c r="S53" s="22"/>
      <c r="T53" s="22"/>
      <c r="U53" s="22"/>
      <c r="V53" s="22" t="n">
        <v>1</v>
      </c>
      <c r="W53" s="16"/>
      <c r="X53" s="16"/>
      <c r="Y53" s="16"/>
      <c r="Z53" s="16"/>
      <c r="AA53" s="16"/>
      <c r="AB53" s="16"/>
      <c r="AC53" s="16"/>
      <c r="AD53" s="16"/>
      <c r="AE53" s="16"/>
      <c r="AF53" s="16"/>
      <c r="AG53" s="16"/>
      <c r="AH53" s="16"/>
      <c r="AI53" s="16"/>
      <c r="AJ53" s="16"/>
      <c r="AK53" s="16"/>
      <c r="AL53" s="16"/>
      <c r="AM53" s="16"/>
      <c r="AN53" s="16"/>
      <c r="AO53" s="16"/>
      <c r="AP53" s="16"/>
      <c r="AQ53" s="16"/>
    </row>
    <row r="54" customFormat="false" ht="28.35" hidden="false" customHeight="false" outlineLevel="0" collapsed="false">
      <c r="A54" s="17"/>
      <c r="B54" s="17"/>
      <c r="C54" s="17"/>
      <c r="D54" s="27"/>
      <c r="E54" s="27"/>
      <c r="F54" s="27"/>
      <c r="G54" s="27"/>
      <c r="H54" s="26" t="s">
        <v>190</v>
      </c>
      <c r="I54" s="22"/>
      <c r="J54" s="22"/>
      <c r="K54" s="22"/>
      <c r="L54" s="22" t="n">
        <v>1</v>
      </c>
      <c r="M54" s="64"/>
      <c r="N54" s="64"/>
      <c r="O54" s="64"/>
      <c r="P54" s="64"/>
      <c r="Q54" s="64"/>
      <c r="R54" s="64"/>
      <c r="S54" s="64"/>
      <c r="T54" s="64"/>
      <c r="U54" s="64"/>
      <c r="V54" s="64"/>
      <c r="W54" s="16"/>
      <c r="X54" s="16"/>
      <c r="Y54" s="16"/>
      <c r="Z54" s="16"/>
      <c r="AA54" s="16"/>
      <c r="AB54" s="16"/>
      <c r="AC54" s="16"/>
      <c r="AD54" s="16"/>
      <c r="AE54" s="16"/>
      <c r="AF54" s="16"/>
      <c r="AG54" s="16"/>
      <c r="AH54" s="16"/>
      <c r="AI54" s="16"/>
      <c r="AJ54" s="16"/>
      <c r="AK54" s="16"/>
      <c r="AL54" s="16"/>
      <c r="AM54" s="16"/>
      <c r="AN54" s="16"/>
      <c r="AO54" s="16"/>
      <c r="AP54" s="16"/>
      <c r="AQ54" s="16"/>
    </row>
    <row r="55" customFormat="false" ht="30" hidden="false" customHeight="true" outlineLevel="0" collapsed="false">
      <c r="A55" s="17"/>
      <c r="B55" s="17"/>
      <c r="C55" s="17"/>
      <c r="D55" s="27"/>
      <c r="E55" s="27"/>
      <c r="F55" s="27"/>
      <c r="G55" s="27"/>
      <c r="H55" s="85" t="s">
        <v>191</v>
      </c>
      <c r="I55" s="22"/>
      <c r="J55" s="22"/>
      <c r="K55" s="22"/>
      <c r="L55" s="22" t="n">
        <v>1</v>
      </c>
      <c r="M55" s="64"/>
      <c r="N55" s="64"/>
      <c r="O55" s="64"/>
      <c r="P55" s="64"/>
      <c r="Q55" s="64"/>
      <c r="R55" s="64"/>
      <c r="S55" s="64"/>
      <c r="T55" s="64"/>
      <c r="U55" s="64"/>
      <c r="V55" s="64"/>
      <c r="W55" s="16"/>
      <c r="X55" s="16"/>
      <c r="Y55" s="16"/>
      <c r="Z55" s="16"/>
      <c r="AA55" s="16"/>
      <c r="AB55" s="16"/>
      <c r="AC55" s="16"/>
      <c r="AD55" s="16"/>
      <c r="AE55" s="16"/>
      <c r="AF55" s="16"/>
      <c r="AG55" s="16"/>
      <c r="AH55" s="16"/>
      <c r="AI55" s="16"/>
      <c r="AJ55" s="16"/>
      <c r="AK55" s="16"/>
      <c r="AL55" s="16"/>
      <c r="AM55" s="16"/>
      <c r="AN55" s="16"/>
      <c r="AO55" s="16"/>
      <c r="AP55" s="16"/>
      <c r="AQ55" s="16"/>
    </row>
    <row r="56" customFormat="false" ht="30" hidden="false" customHeight="true" outlineLevel="0" collapsed="false">
      <c r="A56" s="17"/>
      <c r="B56" s="17"/>
      <c r="C56" s="17"/>
      <c r="D56" s="27"/>
      <c r="E56" s="27"/>
      <c r="F56" s="27"/>
      <c r="G56" s="27"/>
      <c r="H56" s="26" t="s">
        <v>192</v>
      </c>
      <c r="I56" s="22"/>
      <c r="J56" s="22"/>
      <c r="K56" s="22"/>
      <c r="L56" s="22" t="n">
        <v>1</v>
      </c>
      <c r="M56" s="64"/>
      <c r="N56" s="64"/>
      <c r="O56" s="64"/>
      <c r="P56" s="64"/>
      <c r="Q56" s="64"/>
      <c r="R56" s="64"/>
      <c r="S56" s="64"/>
      <c r="T56" s="64"/>
      <c r="U56" s="64"/>
      <c r="V56" s="64"/>
      <c r="W56" s="16"/>
      <c r="X56" s="16"/>
      <c r="Y56" s="16"/>
      <c r="Z56" s="16"/>
      <c r="AA56" s="16"/>
      <c r="AB56" s="16"/>
      <c r="AC56" s="16"/>
      <c r="AD56" s="16"/>
      <c r="AE56" s="16"/>
      <c r="AF56" s="16"/>
      <c r="AG56" s="16"/>
      <c r="AH56" s="16"/>
      <c r="AI56" s="16"/>
      <c r="AJ56" s="16"/>
      <c r="AK56" s="16"/>
      <c r="AL56" s="16"/>
      <c r="AM56" s="16"/>
      <c r="AN56" s="16"/>
      <c r="AO56" s="16"/>
      <c r="AP56" s="16"/>
      <c r="AQ56" s="16"/>
    </row>
    <row r="57" customFormat="false" ht="30.75" hidden="false" customHeight="true" outlineLevel="0" collapsed="false">
      <c r="A57" s="17"/>
      <c r="B57" s="17"/>
      <c r="C57" s="17"/>
      <c r="D57" s="27"/>
      <c r="E57" s="27"/>
      <c r="F57" s="27"/>
      <c r="G57" s="27"/>
      <c r="H57" s="26" t="s">
        <v>193</v>
      </c>
      <c r="I57" s="22"/>
      <c r="J57" s="22"/>
      <c r="K57" s="22"/>
      <c r="L57" s="22" t="n">
        <v>1</v>
      </c>
      <c r="M57" s="64"/>
      <c r="N57" s="64"/>
      <c r="O57" s="64"/>
      <c r="P57" s="64"/>
      <c r="Q57" s="64"/>
      <c r="R57" s="64"/>
      <c r="S57" s="64"/>
      <c r="T57" s="64"/>
      <c r="U57" s="64"/>
      <c r="V57" s="64"/>
      <c r="W57" s="16"/>
      <c r="X57" s="16"/>
      <c r="Y57" s="16"/>
      <c r="Z57" s="16"/>
      <c r="AA57" s="16"/>
      <c r="AB57" s="16"/>
      <c r="AC57" s="16"/>
      <c r="AD57" s="16"/>
      <c r="AE57" s="16"/>
      <c r="AF57" s="16"/>
      <c r="AG57" s="16"/>
      <c r="AH57" s="16"/>
      <c r="AI57" s="16"/>
      <c r="AJ57" s="16"/>
      <c r="AK57" s="16"/>
      <c r="AL57" s="16"/>
      <c r="AM57" s="16"/>
      <c r="AN57" s="16"/>
      <c r="AO57" s="16"/>
      <c r="AP57" s="16"/>
      <c r="AQ57" s="16"/>
    </row>
    <row r="58" customFormat="false" ht="15.75" hidden="false" customHeight="true" outlineLevel="0" collapsed="false">
      <c r="A58" s="17"/>
      <c r="B58" s="34" t="s">
        <v>88</v>
      </c>
      <c r="C58" s="34"/>
      <c r="D58" s="66" t="e">
        <f aca="false">IF( AND(COUNT(D49:G49)=1,COUNT(D50:G50)=1,COUNT(D51:G51)=1,COUNT(D52:G52)=1), (SUM(F49:F52) + (SUM(E49:E52)/2)) / COUNTBLANK(G49:G52), "Error - check cell values")</f>
        <v>#DIV/0!</v>
      </c>
      <c r="E58" s="66"/>
      <c r="F58" s="51" t="n">
        <f aca="false">COUNTBLANK(G49:G52)</f>
        <v>0</v>
      </c>
      <c r="G58" s="51" t="n">
        <f aca="false">ROWS(G49:G52)</f>
        <v>4</v>
      </c>
      <c r="H58" s="52" t="s">
        <v>88</v>
      </c>
      <c r="I58" s="66" t="e">
        <f aca="false">IF( AND(COUNT(I49:L49)=1,COUNT(I50:L50)=1,COUNT(I51:L51)=1,COUNT(I52:L52)=1,COUNT(I53:L53)=1,COUNT(I54:L54)=1,COUNT(I55:L55)=1,COUNT(I56:L56)=1,COUNT(I57:L57)=1), (SUM(K49:K57) + (SUM(J49:J57)/2)) / COUNTBLANK(L49:L57), "Error - check cell values")</f>
        <v>#DIV/0!</v>
      </c>
      <c r="J58" s="66"/>
      <c r="K58" s="51" t="n">
        <f aca="false">COUNTBLANK(L49:L57)</f>
        <v>0</v>
      </c>
      <c r="L58" s="67" t="n">
        <f aca="false">ROWS(L49:L57)</f>
        <v>9</v>
      </c>
      <c r="M58" s="52" t="s">
        <v>88</v>
      </c>
      <c r="N58" s="66" t="e">
        <f aca="false">IF( AND(COUNT(N49:Q49)=1,COUNT(N50:Q50)=1,COUNT(N51:Q51)=1,COUNT(N52:Q52)=1,COUNT(N53:Q53)=1), (SUM(P49:P53) + (SUM(O49:O53)/2)) / COUNTBLANK(Q49:Q53), "Error - check cell values")</f>
        <v>#DIV/0!</v>
      </c>
      <c r="O58" s="66"/>
      <c r="P58" s="51" t="n">
        <f aca="false">COUNTBLANK(Q49:Q53)</f>
        <v>0</v>
      </c>
      <c r="Q58" s="67" t="n">
        <f aca="false">ROWS(Q49:Q53)</f>
        <v>5</v>
      </c>
      <c r="R58" s="52" t="s">
        <v>88</v>
      </c>
      <c r="S58" s="66" t="e">
        <f aca="false">IF( AND(COUNT(S49:V49)=1,COUNT(S50:V50)=1,COUNT(S51:V51)=1,COUNT(S52:V52)=1,COUNT(S53:V53)=1), (SUM(U49:U53) + (SUM(T49:T53)/2)) / COUNTBLANK(V49:V53), "Error - check cell values")</f>
        <v>#DIV/0!</v>
      </c>
      <c r="T58" s="66"/>
      <c r="U58" s="51" t="n">
        <f aca="false">COUNTBLANK(V49:V53)</f>
        <v>0</v>
      </c>
      <c r="V58" s="51" t="n">
        <f aca="false">ROWS(V49:V53)</f>
        <v>5</v>
      </c>
      <c r="W58" s="22"/>
      <c r="X58" s="22"/>
      <c r="Y58" s="22"/>
      <c r="Z58" s="22"/>
      <c r="AA58" s="22"/>
      <c r="AB58" s="22"/>
      <c r="AC58" s="22"/>
      <c r="AD58" s="22"/>
      <c r="AE58" s="22"/>
      <c r="AF58" s="22"/>
      <c r="AG58" s="22"/>
      <c r="AH58" s="22"/>
      <c r="AI58" s="22"/>
      <c r="AJ58" s="22"/>
      <c r="AK58" s="22"/>
      <c r="AL58" s="22"/>
      <c r="AM58" s="22"/>
      <c r="AN58" s="22"/>
      <c r="AO58" s="22"/>
      <c r="AP58" s="22"/>
      <c r="AQ58" s="22"/>
    </row>
    <row r="59" customFormat="false" ht="41.75" hidden="false" customHeight="false" outlineLevel="0" collapsed="false">
      <c r="A59" s="17"/>
      <c r="B59" s="54"/>
      <c r="C59" s="54"/>
      <c r="D59" s="38" t="s">
        <v>77</v>
      </c>
      <c r="E59" s="38" t="s">
        <v>89</v>
      </c>
      <c r="F59" s="38" t="s">
        <v>78</v>
      </c>
      <c r="G59" s="38" t="s">
        <v>90</v>
      </c>
      <c r="H59" s="39"/>
      <c r="I59" s="38" t="s">
        <v>77</v>
      </c>
      <c r="J59" s="38" t="s">
        <v>89</v>
      </c>
      <c r="K59" s="38" t="s">
        <v>78</v>
      </c>
      <c r="L59" s="38" t="s">
        <v>90</v>
      </c>
      <c r="M59" s="39"/>
      <c r="N59" s="38" t="s">
        <v>77</v>
      </c>
      <c r="O59" s="38" t="s">
        <v>89</v>
      </c>
      <c r="P59" s="38" t="s">
        <v>78</v>
      </c>
      <c r="Q59" s="38" t="s">
        <v>90</v>
      </c>
      <c r="R59" s="39"/>
      <c r="S59" s="38" t="s">
        <v>77</v>
      </c>
      <c r="T59" s="38" t="s">
        <v>89</v>
      </c>
      <c r="U59" s="38" t="s">
        <v>78</v>
      </c>
      <c r="V59" s="38" t="s">
        <v>90</v>
      </c>
      <c r="W59" s="16"/>
      <c r="X59" s="16"/>
      <c r="Y59" s="16"/>
      <c r="Z59" s="16"/>
      <c r="AA59" s="16"/>
      <c r="AB59" s="16"/>
      <c r="AC59" s="16"/>
      <c r="AD59" s="16"/>
      <c r="AE59" s="16"/>
      <c r="AF59" s="16"/>
      <c r="AG59" s="16"/>
      <c r="AH59" s="16"/>
      <c r="AI59" s="16"/>
      <c r="AJ59" s="16"/>
      <c r="AK59" s="16"/>
      <c r="AL59" s="16"/>
      <c r="AM59" s="16"/>
      <c r="AN59" s="16"/>
      <c r="AO59" s="16"/>
      <c r="AP59" s="16"/>
      <c r="AQ59" s="16"/>
    </row>
    <row r="60" customFormat="false" ht="31.3" hidden="false" customHeight="true" outlineLevel="0" collapsed="false">
      <c r="A60" s="17"/>
      <c r="B60" s="68" t="s">
        <v>194</v>
      </c>
      <c r="C60" s="58" t="s">
        <v>195</v>
      </c>
      <c r="D60" s="69"/>
      <c r="E60" s="69"/>
      <c r="F60" s="69"/>
      <c r="G60" s="69" t="n">
        <v>1</v>
      </c>
      <c r="H60" s="58" t="s">
        <v>196</v>
      </c>
      <c r="I60" s="69"/>
      <c r="J60" s="69"/>
      <c r="K60" s="69"/>
      <c r="L60" s="69" t="n">
        <v>1</v>
      </c>
      <c r="M60" s="58" t="s">
        <v>197</v>
      </c>
      <c r="N60" s="69"/>
      <c r="O60" s="69"/>
      <c r="P60" s="69"/>
      <c r="Q60" s="69" t="n">
        <v>1</v>
      </c>
      <c r="R60" s="58" t="s">
        <v>198</v>
      </c>
      <c r="S60" s="69"/>
      <c r="T60" s="69"/>
      <c r="U60" s="69"/>
      <c r="V60" s="69" t="n">
        <v>1</v>
      </c>
      <c r="W60" s="16"/>
      <c r="X60" s="16"/>
      <c r="Y60" s="16"/>
      <c r="Z60" s="16"/>
      <c r="AA60" s="16"/>
      <c r="AB60" s="16"/>
      <c r="AC60" s="16"/>
      <c r="AD60" s="16"/>
      <c r="AE60" s="16"/>
      <c r="AF60" s="16"/>
      <c r="AG60" s="16"/>
      <c r="AH60" s="16"/>
      <c r="AI60" s="16"/>
      <c r="AJ60" s="16"/>
      <c r="AK60" s="16"/>
      <c r="AL60" s="16"/>
      <c r="AM60" s="16"/>
      <c r="AN60" s="16"/>
      <c r="AO60" s="16"/>
      <c r="AP60" s="16"/>
      <c r="AQ60" s="16"/>
    </row>
    <row r="61" customFormat="false" ht="31.3" hidden="false" customHeight="false" outlineLevel="0" collapsed="false">
      <c r="A61" s="17"/>
      <c r="B61" s="17"/>
      <c r="C61" s="58" t="s">
        <v>199</v>
      </c>
      <c r="D61" s="69"/>
      <c r="E61" s="69"/>
      <c r="F61" s="69"/>
      <c r="G61" s="69" t="n">
        <v>1</v>
      </c>
      <c r="H61" s="58" t="s">
        <v>200</v>
      </c>
      <c r="I61" s="69"/>
      <c r="J61" s="69"/>
      <c r="K61" s="69"/>
      <c r="L61" s="69" t="n">
        <v>1</v>
      </c>
      <c r="M61" s="58" t="s">
        <v>201</v>
      </c>
      <c r="N61" s="69"/>
      <c r="O61" s="69"/>
      <c r="P61" s="69"/>
      <c r="Q61" s="69" t="n">
        <v>1</v>
      </c>
      <c r="R61" s="70" t="s">
        <v>202</v>
      </c>
      <c r="S61" s="69"/>
      <c r="T61" s="69"/>
      <c r="U61" s="69"/>
      <c r="V61" s="69" t="n">
        <v>1</v>
      </c>
      <c r="W61" s="16"/>
      <c r="X61" s="16"/>
      <c r="Y61" s="16"/>
      <c r="Z61" s="16"/>
      <c r="AA61" s="16"/>
      <c r="AB61" s="16"/>
      <c r="AC61" s="16"/>
      <c r="AD61" s="16"/>
      <c r="AE61" s="16"/>
      <c r="AF61" s="16"/>
      <c r="AG61" s="16"/>
      <c r="AH61" s="16"/>
      <c r="AI61" s="16"/>
      <c r="AJ61" s="16"/>
      <c r="AK61" s="16"/>
      <c r="AL61" s="16"/>
      <c r="AM61" s="16"/>
      <c r="AN61" s="16"/>
      <c r="AO61" s="16"/>
      <c r="AP61" s="16"/>
      <c r="AQ61" s="16"/>
    </row>
    <row r="62" customFormat="false" ht="31.3" hidden="false" customHeight="false" outlineLevel="0" collapsed="false">
      <c r="A62" s="17"/>
      <c r="B62" s="17"/>
      <c r="C62" s="71"/>
      <c r="D62" s="71"/>
      <c r="E62" s="71"/>
      <c r="F62" s="71"/>
      <c r="G62" s="71"/>
      <c r="H62" s="58" t="s">
        <v>203</v>
      </c>
      <c r="I62" s="69"/>
      <c r="J62" s="69"/>
      <c r="K62" s="69"/>
      <c r="L62" s="69" t="n">
        <v>1</v>
      </c>
      <c r="M62" s="58" t="s">
        <v>204</v>
      </c>
      <c r="N62" s="69"/>
      <c r="O62" s="69"/>
      <c r="P62" s="69"/>
      <c r="Q62" s="69" t="n">
        <v>1</v>
      </c>
      <c r="R62" s="58" t="s">
        <v>205</v>
      </c>
      <c r="S62" s="69"/>
      <c r="T62" s="69"/>
      <c r="U62" s="69"/>
      <c r="V62" s="69" t="n">
        <v>1</v>
      </c>
      <c r="W62" s="16"/>
      <c r="X62" s="16"/>
      <c r="Y62" s="16"/>
      <c r="Z62" s="16"/>
      <c r="AA62" s="16"/>
      <c r="AB62" s="16"/>
      <c r="AC62" s="16"/>
      <c r="AD62" s="16"/>
      <c r="AE62" s="16"/>
      <c r="AF62" s="16"/>
      <c r="AG62" s="16"/>
      <c r="AH62" s="16"/>
      <c r="AI62" s="16"/>
      <c r="AJ62" s="16"/>
      <c r="AK62" s="16"/>
      <c r="AL62" s="16"/>
      <c r="AM62" s="16"/>
      <c r="AN62" s="16"/>
      <c r="AO62" s="16"/>
      <c r="AP62" s="16"/>
      <c r="AQ62" s="16"/>
    </row>
    <row r="63" customFormat="false" ht="46.25" hidden="false" customHeight="false" outlineLevel="0" collapsed="false">
      <c r="A63" s="17"/>
      <c r="B63" s="17"/>
      <c r="C63" s="17"/>
      <c r="D63" s="71"/>
      <c r="E63" s="71"/>
      <c r="F63" s="71"/>
      <c r="G63" s="71"/>
      <c r="H63" s="71"/>
      <c r="I63" s="71"/>
      <c r="J63" s="71"/>
      <c r="K63" s="71"/>
      <c r="L63" s="71"/>
      <c r="M63" s="71"/>
      <c r="N63" s="71"/>
      <c r="O63" s="71"/>
      <c r="P63" s="71"/>
      <c r="Q63" s="71"/>
      <c r="R63" s="58" t="s">
        <v>206</v>
      </c>
      <c r="S63" s="69"/>
      <c r="T63" s="69"/>
      <c r="U63" s="69"/>
      <c r="V63" s="69" t="n">
        <v>1</v>
      </c>
      <c r="W63" s="16"/>
      <c r="X63" s="16"/>
      <c r="Y63" s="16"/>
      <c r="Z63" s="16"/>
      <c r="AA63" s="16"/>
      <c r="AB63" s="16"/>
      <c r="AC63" s="16"/>
      <c r="AD63" s="16"/>
      <c r="AE63" s="16"/>
      <c r="AF63" s="16"/>
      <c r="AG63" s="16"/>
      <c r="AH63" s="16"/>
      <c r="AI63" s="16"/>
      <c r="AJ63" s="16"/>
      <c r="AK63" s="16"/>
      <c r="AL63" s="16"/>
      <c r="AM63" s="16"/>
      <c r="AN63" s="16"/>
      <c r="AO63" s="16"/>
      <c r="AP63" s="16"/>
      <c r="AQ63" s="16"/>
    </row>
    <row r="64" customFormat="false" ht="15.75" hidden="false" customHeight="false" outlineLevel="0" collapsed="false">
      <c r="A64" s="17"/>
      <c r="B64" s="17"/>
      <c r="C64" s="17"/>
      <c r="D64" s="71"/>
      <c r="E64" s="71"/>
      <c r="F64" s="71"/>
      <c r="G64" s="71"/>
      <c r="H64" s="71"/>
      <c r="I64" s="71"/>
      <c r="J64" s="71"/>
      <c r="K64" s="71"/>
      <c r="L64" s="71"/>
      <c r="M64" s="71"/>
      <c r="N64" s="71"/>
      <c r="O64" s="71"/>
      <c r="P64" s="71"/>
      <c r="Q64" s="71"/>
      <c r="R64" s="71"/>
      <c r="S64" s="71"/>
      <c r="T64" s="71"/>
      <c r="U64" s="71"/>
      <c r="V64" s="71"/>
      <c r="W64" s="16"/>
      <c r="X64" s="16"/>
      <c r="Y64" s="16"/>
      <c r="Z64" s="16"/>
      <c r="AA64" s="16"/>
      <c r="AB64" s="16"/>
      <c r="AC64" s="16"/>
      <c r="AD64" s="16"/>
      <c r="AE64" s="16"/>
      <c r="AF64" s="16"/>
      <c r="AG64" s="16"/>
      <c r="AH64" s="16"/>
      <c r="AI64" s="16"/>
      <c r="AJ64" s="16"/>
      <c r="AK64" s="16"/>
      <c r="AL64" s="16"/>
      <c r="AM64" s="16"/>
      <c r="AN64" s="16"/>
      <c r="AO64" s="16"/>
      <c r="AP64" s="16"/>
      <c r="AQ64" s="16"/>
    </row>
    <row r="65" customFormat="false" ht="15.75" hidden="false" customHeight="true" outlineLevel="0" collapsed="false">
      <c r="A65" s="17"/>
      <c r="B65" s="34" t="s">
        <v>88</v>
      </c>
      <c r="C65" s="34"/>
      <c r="D65" s="66" t="e">
        <f aca="false">IF( AND(COUNT(D60:G60)=1,COUNT(D61:G61)=1), (SUM(F60:F61) + (SUM(E60:E61)/2)) / COUNTBLANK(G60:G61), "Error - check cell values")</f>
        <v>#DIV/0!</v>
      </c>
      <c r="E65" s="66"/>
      <c r="F65" s="51" t="n">
        <f aca="false">COUNTBLANK(G60:G61)</f>
        <v>0</v>
      </c>
      <c r="G65" s="51" t="n">
        <f aca="false">ROWS(G60:G61)</f>
        <v>2</v>
      </c>
      <c r="H65" s="52" t="s">
        <v>88</v>
      </c>
      <c r="I65" s="66" t="e">
        <f aca="false">IF( AND(COUNT(I60:L60)=1,COUNT(I61:L61)=1,COUNT(I62:L62)=1), (SUM(K60:K62) + (SUM(J60:J62)/2)) / COUNTBLANK(L60:L62), "Error - check cell values")</f>
        <v>#DIV/0!</v>
      </c>
      <c r="J65" s="66"/>
      <c r="K65" s="51" t="n">
        <f aca="false">COUNTBLANK(L60:L62)</f>
        <v>0</v>
      </c>
      <c r="L65" s="51" t="n">
        <f aca="false">ROWS(L60:L62)</f>
        <v>3</v>
      </c>
      <c r="M65" s="52" t="s">
        <v>88</v>
      </c>
      <c r="N65" s="66" t="e">
        <f aca="false">IF( AND(COUNT(N60:Q60)=1,COUNT(N61:Q61)=1,COUNT(N62:Q62)=1), (SUM(P60:P62) + (SUM(O60:O62)/2)) / COUNTBLANK(Q60:Q62), "Error - check cell values")</f>
        <v>#DIV/0!</v>
      </c>
      <c r="O65" s="66"/>
      <c r="P65" s="51" t="n">
        <f aca="false">COUNTBLANK(Q60:Q62)</f>
        <v>0</v>
      </c>
      <c r="Q65" s="51" t="n">
        <f aca="false">ROWS(Q60:Q62)</f>
        <v>3</v>
      </c>
      <c r="R65" s="52" t="s">
        <v>88</v>
      </c>
      <c r="S65" s="66" t="e">
        <f aca="false">IF( AND(COUNT(S60:V60)=1,COUNT(S61:V61)=1,COUNT(S62:V62)=1,COUNT(S63:V63)=1), (SUM(U60:U63) + (SUM(T60:T63)/2)) / COUNTBLANK(V60:V63), "Error - check cell values")</f>
        <v>#DIV/0!</v>
      </c>
      <c r="T65" s="66"/>
      <c r="U65" s="51" t="n">
        <f aca="false">COUNTBLANK(V60:V63)</f>
        <v>0</v>
      </c>
      <c r="V65" s="51" t="n">
        <f aca="false">ROWS(V60:V63)</f>
        <v>4</v>
      </c>
      <c r="W65" s="22"/>
      <c r="X65" s="22"/>
      <c r="Y65" s="22"/>
      <c r="Z65" s="22"/>
      <c r="AA65" s="22"/>
      <c r="AB65" s="22"/>
      <c r="AC65" s="22"/>
      <c r="AD65" s="22"/>
      <c r="AE65" s="22"/>
      <c r="AF65" s="22"/>
      <c r="AG65" s="22"/>
      <c r="AH65" s="22"/>
      <c r="AI65" s="22"/>
      <c r="AJ65" s="22"/>
      <c r="AK65" s="22"/>
      <c r="AL65" s="22"/>
      <c r="AM65" s="22"/>
      <c r="AN65" s="22"/>
      <c r="AO65" s="22"/>
      <c r="AP65" s="22"/>
      <c r="AQ65" s="22"/>
    </row>
    <row r="66" customFormat="false" ht="41.75" hidden="false" customHeight="false" outlineLevel="0" collapsed="false">
      <c r="A66" s="17"/>
      <c r="B66" s="54"/>
      <c r="C66" s="54"/>
      <c r="D66" s="38" t="s">
        <v>77</v>
      </c>
      <c r="E66" s="38" t="s">
        <v>89</v>
      </c>
      <c r="F66" s="38" t="s">
        <v>78</v>
      </c>
      <c r="G66" s="38" t="s">
        <v>90</v>
      </c>
      <c r="H66" s="39"/>
      <c r="I66" s="38" t="s">
        <v>77</v>
      </c>
      <c r="J66" s="38" t="s">
        <v>89</v>
      </c>
      <c r="K66" s="38" t="s">
        <v>78</v>
      </c>
      <c r="L66" s="38" t="s">
        <v>90</v>
      </c>
      <c r="M66" s="39"/>
      <c r="N66" s="38" t="s">
        <v>77</v>
      </c>
      <c r="O66" s="38" t="s">
        <v>89</v>
      </c>
      <c r="P66" s="38" t="s">
        <v>78</v>
      </c>
      <c r="Q66" s="38" t="s">
        <v>90</v>
      </c>
      <c r="R66" s="39"/>
      <c r="S66" s="38" t="s">
        <v>77</v>
      </c>
      <c r="T66" s="38" t="s">
        <v>89</v>
      </c>
      <c r="U66" s="38" t="s">
        <v>78</v>
      </c>
      <c r="V66" s="38" t="s">
        <v>90</v>
      </c>
      <c r="W66" s="16"/>
      <c r="X66" s="16"/>
      <c r="Y66" s="16"/>
      <c r="Z66" s="16"/>
      <c r="AA66" s="16"/>
      <c r="AB66" s="16"/>
      <c r="AC66" s="16"/>
      <c r="AD66" s="16"/>
      <c r="AE66" s="16"/>
      <c r="AF66" s="16"/>
      <c r="AG66" s="16"/>
      <c r="AH66" s="16"/>
      <c r="AI66" s="16"/>
      <c r="AJ66" s="16"/>
      <c r="AK66" s="16"/>
      <c r="AL66" s="16"/>
      <c r="AM66" s="16"/>
      <c r="AN66" s="16"/>
      <c r="AO66" s="16"/>
      <c r="AP66" s="16"/>
      <c r="AQ66" s="16"/>
    </row>
    <row r="67" customFormat="false" ht="41.75" hidden="false" customHeight="true" outlineLevel="0" collapsed="false">
      <c r="A67" s="17"/>
      <c r="B67" s="68" t="s">
        <v>207</v>
      </c>
      <c r="C67" s="32" t="s">
        <v>208</v>
      </c>
      <c r="D67" s="72"/>
      <c r="E67" s="72"/>
      <c r="F67" s="72"/>
      <c r="G67" s="72" t="n">
        <v>1</v>
      </c>
      <c r="H67" s="32" t="s">
        <v>209</v>
      </c>
      <c r="I67" s="72"/>
      <c r="J67" s="72"/>
      <c r="K67" s="72"/>
      <c r="L67" s="72" t="n">
        <v>1</v>
      </c>
      <c r="M67" s="32" t="s">
        <v>210</v>
      </c>
      <c r="N67" s="72"/>
      <c r="O67" s="72"/>
      <c r="P67" s="72"/>
      <c r="Q67" s="72" t="n">
        <v>1</v>
      </c>
      <c r="R67" s="32" t="s">
        <v>211</v>
      </c>
      <c r="S67" s="72"/>
      <c r="T67" s="72"/>
      <c r="U67" s="72"/>
      <c r="V67" s="72" t="n">
        <v>1</v>
      </c>
      <c r="W67" s="16"/>
      <c r="X67" s="16"/>
      <c r="Y67" s="16"/>
      <c r="Z67" s="16"/>
      <c r="AA67" s="16"/>
      <c r="AB67" s="16"/>
      <c r="AC67" s="16"/>
      <c r="AD67" s="16"/>
      <c r="AE67" s="16"/>
      <c r="AF67" s="16"/>
      <c r="AG67" s="16"/>
      <c r="AH67" s="16"/>
      <c r="AI67" s="16"/>
      <c r="AJ67" s="16"/>
      <c r="AK67" s="16"/>
      <c r="AL67" s="16"/>
      <c r="AM67" s="16"/>
      <c r="AN67" s="16"/>
      <c r="AO67" s="16"/>
      <c r="AP67" s="16"/>
      <c r="AQ67" s="16"/>
    </row>
    <row r="68" customFormat="false" ht="55.2" hidden="false" customHeight="false" outlineLevel="0" collapsed="false">
      <c r="A68" s="17"/>
      <c r="B68" s="17"/>
      <c r="C68" s="32" t="s">
        <v>212</v>
      </c>
      <c r="D68" s="72"/>
      <c r="E68" s="72"/>
      <c r="F68" s="72"/>
      <c r="G68" s="72" t="n">
        <v>1</v>
      </c>
      <c r="H68" s="32" t="s">
        <v>213</v>
      </c>
      <c r="I68" s="72"/>
      <c r="J68" s="72"/>
      <c r="K68" s="72"/>
      <c r="L68" s="72" t="n">
        <v>1</v>
      </c>
      <c r="M68" s="32" t="s">
        <v>214</v>
      </c>
      <c r="N68" s="72"/>
      <c r="O68" s="72"/>
      <c r="P68" s="72"/>
      <c r="Q68" s="72" t="n">
        <v>1</v>
      </c>
      <c r="R68" s="32" t="s">
        <v>215</v>
      </c>
      <c r="S68" s="72"/>
      <c r="T68" s="72"/>
      <c r="U68" s="72"/>
      <c r="V68" s="72" t="n">
        <v>1</v>
      </c>
      <c r="W68" s="16"/>
      <c r="X68" s="16"/>
      <c r="Y68" s="16"/>
      <c r="Z68" s="16"/>
      <c r="AA68" s="16"/>
      <c r="AB68" s="16"/>
      <c r="AC68" s="16"/>
      <c r="AD68" s="16"/>
      <c r="AE68" s="16"/>
      <c r="AF68" s="16"/>
      <c r="AG68" s="16"/>
      <c r="AH68" s="16"/>
      <c r="AI68" s="16"/>
      <c r="AJ68" s="16"/>
      <c r="AK68" s="16"/>
      <c r="AL68" s="16"/>
      <c r="AM68" s="16"/>
      <c r="AN68" s="16"/>
      <c r="AO68" s="16"/>
      <c r="AP68" s="16"/>
      <c r="AQ68" s="16"/>
    </row>
    <row r="69" customFormat="false" ht="55.2" hidden="false" customHeight="false" outlineLevel="0" collapsed="false">
      <c r="A69" s="17"/>
      <c r="B69" s="17"/>
      <c r="C69" s="73"/>
      <c r="D69" s="73"/>
      <c r="E69" s="73"/>
      <c r="F69" s="73"/>
      <c r="G69" s="73"/>
      <c r="H69" s="73"/>
      <c r="I69" s="73"/>
      <c r="J69" s="73"/>
      <c r="K69" s="73"/>
      <c r="L69" s="73"/>
      <c r="M69" s="32" t="s">
        <v>216</v>
      </c>
      <c r="N69" s="72"/>
      <c r="O69" s="72"/>
      <c r="P69" s="72"/>
      <c r="Q69" s="72" t="n">
        <v>1</v>
      </c>
      <c r="R69" s="32" t="s">
        <v>217</v>
      </c>
      <c r="S69" s="72"/>
      <c r="T69" s="72"/>
      <c r="U69" s="72"/>
      <c r="V69" s="72" t="n">
        <v>1</v>
      </c>
      <c r="W69" s="16"/>
      <c r="X69" s="16"/>
      <c r="Y69" s="16"/>
      <c r="Z69" s="16"/>
      <c r="AA69" s="16"/>
      <c r="AB69" s="16"/>
      <c r="AC69" s="16"/>
      <c r="AD69" s="16"/>
      <c r="AE69" s="16"/>
      <c r="AF69" s="16"/>
      <c r="AG69" s="16"/>
      <c r="AH69" s="16"/>
      <c r="AI69" s="16"/>
      <c r="AJ69" s="16"/>
      <c r="AK69" s="16"/>
      <c r="AL69" s="16"/>
      <c r="AM69" s="16"/>
      <c r="AN69" s="16"/>
      <c r="AO69" s="16"/>
      <c r="AP69" s="16"/>
      <c r="AQ69" s="16"/>
    </row>
    <row r="70" customFormat="false" ht="28.35" hidden="false" customHeight="false" outlineLevel="0" collapsed="false">
      <c r="A70" s="17"/>
      <c r="B70" s="17"/>
      <c r="C70" s="17"/>
      <c r="D70" s="73"/>
      <c r="E70" s="73"/>
      <c r="F70" s="73"/>
      <c r="G70" s="73"/>
      <c r="H70" s="73"/>
      <c r="I70" s="73"/>
      <c r="J70" s="73"/>
      <c r="K70" s="73"/>
      <c r="L70" s="73"/>
      <c r="M70" s="32" t="s">
        <v>218</v>
      </c>
      <c r="N70" s="72"/>
      <c r="O70" s="72"/>
      <c r="P70" s="72"/>
      <c r="Q70" s="72" t="n">
        <v>1</v>
      </c>
      <c r="R70" s="32" t="s">
        <v>219</v>
      </c>
      <c r="S70" s="72"/>
      <c r="T70" s="72"/>
      <c r="U70" s="72"/>
      <c r="V70" s="72" t="n">
        <v>1</v>
      </c>
      <c r="W70" s="16"/>
      <c r="X70" s="16"/>
      <c r="Y70" s="16"/>
      <c r="Z70" s="16"/>
      <c r="AA70" s="16"/>
      <c r="AB70" s="16"/>
      <c r="AC70" s="16"/>
      <c r="AD70" s="16"/>
      <c r="AE70" s="16"/>
      <c r="AF70" s="16"/>
      <c r="AG70" s="16"/>
      <c r="AH70" s="16"/>
      <c r="AI70" s="16"/>
      <c r="AJ70" s="16"/>
      <c r="AK70" s="16"/>
      <c r="AL70" s="16"/>
      <c r="AM70" s="16"/>
      <c r="AN70" s="16"/>
      <c r="AO70" s="16"/>
      <c r="AP70" s="16"/>
      <c r="AQ70" s="16"/>
    </row>
    <row r="71" customFormat="false" ht="15.75" hidden="false" customHeight="true" outlineLevel="0" collapsed="false">
      <c r="A71" s="52"/>
      <c r="B71" s="34" t="s">
        <v>88</v>
      </c>
      <c r="C71" s="34"/>
      <c r="D71" s="50" t="e">
        <f aca="false">IF( AND(COUNT(D67:G67)=1,COUNT(D68:G68)=1), (SUM(F67:F68) + (SUM(E67:E68)/2)) / COUNTBLANK(G67:G68), "Error - check cell values")</f>
        <v>#DIV/0!</v>
      </c>
      <c r="E71" s="50"/>
      <c r="F71" s="51" t="n">
        <f aca="false">COUNTBLANK(G67:G68)</f>
        <v>0</v>
      </c>
      <c r="G71" s="51" t="n">
        <f aca="false">ROWS(G67:G68)</f>
        <v>2</v>
      </c>
      <c r="H71" s="52" t="s">
        <v>88</v>
      </c>
      <c r="I71" s="50" t="e">
        <f aca="false">IF( AND(COUNT(I67:L67)=1,COUNT(I68:L68)=1), (SUM(K67:K68) + (SUM(J67:J68)/2)) / COUNTBLANK(L67:L68), "Error - check cell values")</f>
        <v>#DIV/0!</v>
      </c>
      <c r="J71" s="50"/>
      <c r="K71" s="51" t="n">
        <f aca="false">COUNTBLANK(L67:L68)</f>
        <v>0</v>
      </c>
      <c r="L71" s="51" t="n">
        <f aca="false">ROWS(L67:L68)</f>
        <v>2</v>
      </c>
      <c r="M71" s="52" t="s">
        <v>88</v>
      </c>
      <c r="N71" s="50" t="e">
        <f aca="false">IF( AND(COUNT(N67:Q67)=1,COUNT(N68:Q68)=1,COUNT(N69:Q69)=1,COUNT(N70:Q70)=1), (SUM(P67:P70) + (SUM(O67:O70)/2)) / COUNTBLANK(Q67:Q70), "Error - check cell values")</f>
        <v>#DIV/0!</v>
      </c>
      <c r="O71" s="50"/>
      <c r="P71" s="51" t="n">
        <f aca="false">COUNTBLANK(Q67:Q70)</f>
        <v>0</v>
      </c>
      <c r="Q71" s="51" t="n">
        <f aca="false">ROWS(Q67:Q70)</f>
        <v>4</v>
      </c>
      <c r="R71" s="52" t="s">
        <v>88</v>
      </c>
      <c r="S71" s="50" t="e">
        <f aca="false">IF( AND(COUNT(S67:V67)=1,COUNT(S68:V68)=1,COUNT(S69:V69)=1,COUNT(S70:V70)=1), (SUM(U67:U70) + (SUM(T67:T70)/2)) / COUNTBLANK(V67:V70), "Error - check cell values")</f>
        <v>#DIV/0!</v>
      </c>
      <c r="T71" s="50"/>
      <c r="U71" s="51" t="n">
        <f aca="false">COUNTBLANK(V67:V70)</f>
        <v>0</v>
      </c>
      <c r="V71" s="51" t="n">
        <f aca="false">ROWS(V67:V70)</f>
        <v>4</v>
      </c>
      <c r="W71" s="22"/>
      <c r="X71" s="22"/>
      <c r="Y71" s="22"/>
      <c r="Z71" s="22"/>
      <c r="AA71" s="22"/>
      <c r="AB71" s="22"/>
      <c r="AC71" s="22"/>
      <c r="AD71" s="22"/>
      <c r="AE71" s="22"/>
      <c r="AF71" s="22"/>
      <c r="AG71" s="22"/>
      <c r="AH71" s="22"/>
      <c r="AI71" s="22"/>
      <c r="AJ71" s="22"/>
      <c r="AK71" s="22"/>
      <c r="AL71" s="22"/>
      <c r="AM71" s="22"/>
      <c r="AN71" s="22"/>
      <c r="AO71" s="22"/>
      <c r="AP71" s="22"/>
      <c r="AQ71" s="22"/>
    </row>
    <row r="72" customFormat="false" ht="61.15" hidden="false" customHeight="false" outlineLevel="0" collapsed="false">
      <c r="A72" s="74"/>
      <c r="B72" s="75"/>
      <c r="C72" s="75"/>
      <c r="D72" s="74" t="s">
        <v>77</v>
      </c>
      <c r="E72" s="74" t="s">
        <v>89</v>
      </c>
      <c r="F72" s="74" t="s">
        <v>78</v>
      </c>
      <c r="G72" s="74" t="s">
        <v>90</v>
      </c>
      <c r="H72" s="76"/>
      <c r="I72" s="74" t="s">
        <v>77</v>
      </c>
      <c r="J72" s="74" t="s">
        <v>89</v>
      </c>
      <c r="K72" s="74" t="s">
        <v>78</v>
      </c>
      <c r="L72" s="74" t="s">
        <v>90</v>
      </c>
      <c r="M72" s="76"/>
      <c r="N72" s="74" t="s">
        <v>77</v>
      </c>
      <c r="O72" s="74" t="s">
        <v>89</v>
      </c>
      <c r="P72" s="74" t="s">
        <v>78</v>
      </c>
      <c r="Q72" s="74" t="s">
        <v>90</v>
      </c>
      <c r="R72" s="76"/>
      <c r="S72" s="74" t="s">
        <v>77</v>
      </c>
      <c r="T72" s="74" t="s">
        <v>89</v>
      </c>
      <c r="U72" s="74" t="s">
        <v>78</v>
      </c>
      <c r="V72" s="74" t="s">
        <v>90</v>
      </c>
      <c r="W72" s="16"/>
      <c r="X72" s="16"/>
      <c r="Y72" s="16"/>
      <c r="Z72" s="16"/>
      <c r="AA72" s="16"/>
      <c r="AB72" s="16"/>
      <c r="AC72" s="16"/>
      <c r="AD72" s="16"/>
      <c r="AE72" s="16"/>
      <c r="AF72" s="16"/>
      <c r="AG72" s="16"/>
      <c r="AH72" s="16"/>
      <c r="AI72" s="16"/>
      <c r="AJ72" s="16"/>
      <c r="AK72" s="16"/>
      <c r="AL72" s="16"/>
      <c r="AM72" s="16"/>
      <c r="AN72" s="16"/>
      <c r="AO72" s="16"/>
      <c r="AP72" s="16"/>
      <c r="AQ72" s="16"/>
    </row>
    <row r="73" customFormat="false" ht="55.2" hidden="false" customHeight="true" outlineLevel="0" collapsed="false">
      <c r="A73" s="17" t="s">
        <v>220</v>
      </c>
      <c r="B73" s="40" t="s">
        <v>221</v>
      </c>
      <c r="C73" s="26" t="s">
        <v>222</v>
      </c>
      <c r="D73" s="22"/>
      <c r="E73" s="22"/>
      <c r="F73" s="22"/>
      <c r="G73" s="22" t="n">
        <v>1</v>
      </c>
      <c r="H73" s="26" t="s">
        <v>223</v>
      </c>
      <c r="I73" s="22"/>
      <c r="J73" s="22"/>
      <c r="K73" s="22"/>
      <c r="L73" s="22" t="n">
        <v>1</v>
      </c>
      <c r="M73" s="26" t="s">
        <v>224</v>
      </c>
      <c r="N73" s="22"/>
      <c r="O73" s="22"/>
      <c r="Q73" s="22" t="n">
        <v>1</v>
      </c>
      <c r="R73" s="26" t="s">
        <v>225</v>
      </c>
      <c r="S73" s="22"/>
      <c r="T73" s="22"/>
      <c r="U73" s="22"/>
      <c r="V73" s="22" t="n">
        <v>1</v>
      </c>
      <c r="W73" s="16"/>
      <c r="X73" s="16"/>
      <c r="Y73" s="16"/>
      <c r="Z73" s="16"/>
      <c r="AA73" s="16"/>
      <c r="AB73" s="16"/>
      <c r="AC73" s="16"/>
      <c r="AD73" s="16"/>
      <c r="AE73" s="16"/>
      <c r="AF73" s="16"/>
      <c r="AG73" s="16"/>
      <c r="AH73" s="16"/>
      <c r="AI73" s="16"/>
      <c r="AJ73" s="16"/>
      <c r="AK73" s="16"/>
      <c r="AL73" s="16"/>
      <c r="AM73" s="16"/>
      <c r="AN73" s="16"/>
      <c r="AO73" s="16"/>
      <c r="AP73" s="16"/>
      <c r="AQ73" s="16"/>
    </row>
    <row r="74" customFormat="false" ht="55.2" hidden="false" customHeight="false" outlineLevel="0" collapsed="false">
      <c r="A74" s="17"/>
      <c r="B74" s="17"/>
      <c r="C74" s="26" t="s">
        <v>226</v>
      </c>
      <c r="D74" s="22"/>
      <c r="E74" s="22"/>
      <c r="F74" s="22"/>
      <c r="G74" s="22" t="n">
        <v>1</v>
      </c>
      <c r="H74" s="26" t="s">
        <v>227</v>
      </c>
      <c r="I74" s="22"/>
      <c r="J74" s="22"/>
      <c r="K74" s="22"/>
      <c r="L74" s="22" t="n">
        <v>1</v>
      </c>
      <c r="M74" s="26" t="s">
        <v>228</v>
      </c>
      <c r="N74" s="22"/>
      <c r="O74" s="22"/>
      <c r="Q74" s="22" t="n">
        <v>1</v>
      </c>
      <c r="R74" s="26" t="s">
        <v>229</v>
      </c>
      <c r="S74" s="22"/>
      <c r="T74" s="22"/>
      <c r="U74" s="22"/>
      <c r="V74" s="22" t="n">
        <v>1</v>
      </c>
      <c r="W74" s="16"/>
      <c r="X74" s="16"/>
      <c r="Y74" s="16"/>
      <c r="Z74" s="16"/>
      <c r="AA74" s="16"/>
      <c r="AB74" s="16"/>
      <c r="AC74" s="16"/>
      <c r="AD74" s="16"/>
      <c r="AE74" s="16"/>
      <c r="AF74" s="16"/>
      <c r="AG74" s="16"/>
      <c r="AH74" s="16"/>
      <c r="AI74" s="16"/>
      <c r="AJ74" s="16"/>
      <c r="AK74" s="16"/>
      <c r="AL74" s="16"/>
      <c r="AM74" s="16"/>
      <c r="AN74" s="16"/>
      <c r="AO74" s="16"/>
      <c r="AP74" s="16"/>
      <c r="AQ74" s="16"/>
    </row>
    <row r="75" customFormat="false" ht="55.2" hidden="false" customHeight="false" outlineLevel="0" collapsed="false">
      <c r="A75" s="17"/>
      <c r="B75" s="17"/>
      <c r="C75" s="26" t="s">
        <v>230</v>
      </c>
      <c r="D75" s="22"/>
      <c r="E75" s="22"/>
      <c r="F75" s="22"/>
      <c r="G75" s="22" t="n">
        <v>1</v>
      </c>
      <c r="H75" s="26" t="s">
        <v>231</v>
      </c>
      <c r="I75" s="22"/>
      <c r="J75" s="22"/>
      <c r="K75" s="22"/>
      <c r="L75" s="22" t="n">
        <v>1</v>
      </c>
      <c r="M75" s="26" t="s">
        <v>232</v>
      </c>
      <c r="N75" s="22"/>
      <c r="O75" s="22"/>
      <c r="Q75" s="22" t="n">
        <v>1</v>
      </c>
      <c r="R75" s="26" t="s">
        <v>233</v>
      </c>
      <c r="S75" s="22"/>
      <c r="T75" s="22"/>
      <c r="U75" s="22"/>
      <c r="V75" s="22" t="n">
        <v>1</v>
      </c>
      <c r="W75" s="16"/>
      <c r="X75" s="16"/>
      <c r="Y75" s="16"/>
      <c r="Z75" s="16"/>
      <c r="AA75" s="16"/>
      <c r="AB75" s="16"/>
      <c r="AC75" s="16"/>
      <c r="AD75" s="16"/>
      <c r="AE75" s="16"/>
      <c r="AF75" s="16"/>
      <c r="AG75" s="16"/>
      <c r="AH75" s="16"/>
      <c r="AI75" s="16"/>
      <c r="AJ75" s="16"/>
      <c r="AK75" s="16"/>
      <c r="AL75" s="16"/>
      <c r="AM75" s="16"/>
      <c r="AN75" s="16"/>
      <c r="AO75" s="16"/>
      <c r="AP75" s="16"/>
      <c r="AQ75" s="16"/>
    </row>
    <row r="76" customFormat="false" ht="68.65" hidden="false" customHeight="false" outlineLevel="0" collapsed="false">
      <c r="A76" s="17"/>
      <c r="B76" s="17"/>
      <c r="C76" s="26" t="s">
        <v>234</v>
      </c>
      <c r="D76" s="22"/>
      <c r="E76" s="22"/>
      <c r="F76" s="22"/>
      <c r="G76" s="22" t="n">
        <v>1</v>
      </c>
      <c r="H76" s="26" t="s">
        <v>235</v>
      </c>
      <c r="I76" s="22"/>
      <c r="J76" s="22"/>
      <c r="K76" s="22"/>
      <c r="L76" s="22" t="n">
        <v>1</v>
      </c>
      <c r="M76" s="26" t="s">
        <v>236</v>
      </c>
      <c r="N76" s="22"/>
      <c r="O76" s="22"/>
      <c r="Q76" s="22" t="n">
        <v>1</v>
      </c>
      <c r="R76" s="26" t="s">
        <v>237</v>
      </c>
      <c r="S76" s="22"/>
      <c r="T76" s="22"/>
      <c r="U76" s="22"/>
      <c r="V76" s="22" t="n">
        <v>1</v>
      </c>
      <c r="W76" s="16"/>
      <c r="X76" s="16"/>
      <c r="Y76" s="16"/>
      <c r="Z76" s="16"/>
      <c r="AA76" s="16"/>
      <c r="AB76" s="16"/>
      <c r="AC76" s="16"/>
      <c r="AD76" s="16"/>
      <c r="AE76" s="16"/>
      <c r="AF76" s="16"/>
      <c r="AG76" s="16"/>
      <c r="AH76" s="16"/>
      <c r="AI76" s="16"/>
      <c r="AJ76" s="16"/>
      <c r="AK76" s="16"/>
      <c r="AL76" s="16"/>
      <c r="AM76" s="16"/>
      <c r="AN76" s="16"/>
      <c r="AO76" s="16"/>
      <c r="AP76" s="16"/>
      <c r="AQ76" s="16"/>
    </row>
    <row r="77" customFormat="false" ht="82.05" hidden="false" customHeight="false" outlineLevel="0" collapsed="false">
      <c r="A77" s="17"/>
      <c r="B77" s="17"/>
      <c r="C77" s="26" t="s">
        <v>238</v>
      </c>
      <c r="D77" s="22"/>
      <c r="E77" s="22"/>
      <c r="F77" s="22"/>
      <c r="G77" s="22" t="n">
        <v>1</v>
      </c>
      <c r="H77" s="26" t="s">
        <v>239</v>
      </c>
      <c r="I77" s="22"/>
      <c r="J77" s="22"/>
      <c r="K77" s="22"/>
      <c r="L77" s="22" t="n">
        <v>1</v>
      </c>
      <c r="M77" s="26" t="s">
        <v>240</v>
      </c>
      <c r="N77" s="22"/>
      <c r="O77" s="22"/>
      <c r="P77" s="22"/>
      <c r="Q77" s="22" t="n">
        <v>1</v>
      </c>
      <c r="R77" s="26" t="s">
        <v>241</v>
      </c>
      <c r="S77" s="22"/>
      <c r="T77" s="22"/>
      <c r="U77" s="22"/>
      <c r="V77" s="22" t="n">
        <v>1</v>
      </c>
      <c r="W77" s="16"/>
      <c r="X77" s="16"/>
      <c r="Y77" s="16"/>
      <c r="Z77" s="16"/>
      <c r="AA77" s="16"/>
      <c r="AB77" s="16"/>
      <c r="AC77" s="16"/>
      <c r="AD77" s="16"/>
      <c r="AE77" s="16"/>
      <c r="AF77" s="16"/>
      <c r="AG77" s="16"/>
      <c r="AH77" s="16"/>
      <c r="AI77" s="16"/>
      <c r="AJ77" s="16"/>
      <c r="AK77" s="16"/>
      <c r="AL77" s="16"/>
      <c r="AM77" s="16"/>
      <c r="AN77" s="16"/>
      <c r="AO77" s="16"/>
      <c r="AP77" s="16"/>
      <c r="AQ77" s="16"/>
    </row>
    <row r="78" customFormat="false" ht="82.05" hidden="false" customHeight="false" outlineLevel="0" collapsed="false">
      <c r="A78" s="17"/>
      <c r="B78" s="17"/>
      <c r="C78" s="26" t="s">
        <v>242</v>
      </c>
      <c r="D78" s="22"/>
      <c r="E78" s="22"/>
      <c r="F78" s="22"/>
      <c r="G78" s="22" t="n">
        <v>1</v>
      </c>
      <c r="H78" s="26" t="s">
        <v>243</v>
      </c>
      <c r="I78" s="22"/>
      <c r="J78" s="22"/>
      <c r="K78" s="22"/>
      <c r="L78" s="22" t="n">
        <v>1</v>
      </c>
      <c r="M78" s="26" t="s">
        <v>244</v>
      </c>
      <c r="N78" s="22"/>
      <c r="O78" s="22"/>
      <c r="P78" s="22"/>
      <c r="Q78" s="22" t="n">
        <v>1</v>
      </c>
      <c r="R78" s="26" t="s">
        <v>245</v>
      </c>
      <c r="S78" s="22"/>
      <c r="T78" s="22"/>
      <c r="U78" s="22"/>
      <c r="V78" s="22" t="n">
        <v>1</v>
      </c>
      <c r="W78" s="16"/>
      <c r="X78" s="16"/>
      <c r="Y78" s="16"/>
      <c r="Z78" s="16"/>
      <c r="AA78" s="16"/>
      <c r="AB78" s="16"/>
      <c r="AC78" s="16"/>
      <c r="AD78" s="16"/>
      <c r="AE78" s="16"/>
      <c r="AF78" s="16"/>
      <c r="AG78" s="16"/>
      <c r="AH78" s="16"/>
      <c r="AI78" s="16"/>
      <c r="AJ78" s="16"/>
      <c r="AK78" s="16"/>
      <c r="AL78" s="16"/>
      <c r="AM78" s="16"/>
      <c r="AN78" s="16"/>
      <c r="AO78" s="16"/>
      <c r="AP78" s="16"/>
      <c r="AQ78" s="16"/>
    </row>
    <row r="79" customFormat="false" ht="55.2" hidden="false" customHeight="false" outlineLevel="0" collapsed="false">
      <c r="A79" s="17"/>
      <c r="B79" s="17"/>
      <c r="C79" s="26" t="s">
        <v>246</v>
      </c>
      <c r="D79" s="22"/>
      <c r="E79" s="22"/>
      <c r="F79" s="22"/>
      <c r="G79" s="22" t="n">
        <v>1</v>
      </c>
      <c r="H79" s="26" t="s">
        <v>247</v>
      </c>
      <c r="I79" s="22"/>
      <c r="J79" s="22"/>
      <c r="K79" s="22"/>
      <c r="L79" s="22" t="n">
        <v>1</v>
      </c>
      <c r="M79" s="26" t="s">
        <v>248</v>
      </c>
      <c r="N79" s="22"/>
      <c r="O79" s="22"/>
      <c r="P79" s="22"/>
      <c r="Q79" s="22" t="n">
        <v>1</v>
      </c>
      <c r="R79" s="26" t="s">
        <v>249</v>
      </c>
      <c r="S79" s="22"/>
      <c r="T79" s="22"/>
      <c r="U79" s="22"/>
      <c r="V79" s="22" t="n">
        <v>1</v>
      </c>
      <c r="W79" s="16"/>
      <c r="X79" s="16"/>
      <c r="Y79" s="16"/>
      <c r="Z79" s="16"/>
      <c r="AA79" s="16"/>
      <c r="AB79" s="16"/>
      <c r="AC79" s="16"/>
      <c r="AD79" s="16"/>
      <c r="AE79" s="16"/>
      <c r="AF79" s="16"/>
      <c r="AG79" s="16"/>
      <c r="AH79" s="16"/>
      <c r="AI79" s="16"/>
      <c r="AJ79" s="16"/>
      <c r="AK79" s="16"/>
      <c r="AL79" s="16"/>
      <c r="AM79" s="16"/>
      <c r="AN79" s="16"/>
      <c r="AO79" s="16"/>
      <c r="AP79" s="16"/>
      <c r="AQ79" s="16"/>
    </row>
    <row r="80" customFormat="false" ht="41.75" hidden="false" customHeight="false" outlineLevel="0" collapsed="false">
      <c r="A80" s="17"/>
      <c r="B80" s="17"/>
      <c r="C80" s="26" t="s">
        <v>250</v>
      </c>
      <c r="D80" s="22"/>
      <c r="E80" s="22"/>
      <c r="F80" s="22"/>
      <c r="G80" s="22" t="n">
        <v>1</v>
      </c>
      <c r="H80" s="26" t="s">
        <v>250</v>
      </c>
      <c r="I80" s="22"/>
      <c r="J80" s="22"/>
      <c r="K80" s="22"/>
      <c r="L80" s="22" t="n">
        <v>1</v>
      </c>
      <c r="M80" s="26" t="s">
        <v>251</v>
      </c>
      <c r="N80" s="22"/>
      <c r="O80" s="22"/>
      <c r="P80" s="22"/>
      <c r="Q80" s="22" t="n">
        <v>1</v>
      </c>
      <c r="R80" s="42" t="s">
        <v>252</v>
      </c>
      <c r="S80" s="22"/>
      <c r="T80" s="22"/>
      <c r="U80" s="22"/>
      <c r="V80" s="22" t="n">
        <v>1</v>
      </c>
      <c r="W80" s="16"/>
      <c r="X80" s="16"/>
      <c r="Y80" s="16"/>
      <c r="Z80" s="16"/>
      <c r="AA80" s="16"/>
      <c r="AB80" s="16"/>
      <c r="AC80" s="16"/>
      <c r="AD80" s="16"/>
      <c r="AE80" s="16"/>
      <c r="AF80" s="16"/>
      <c r="AG80" s="16"/>
      <c r="AH80" s="16"/>
      <c r="AI80" s="16"/>
      <c r="AJ80" s="16"/>
      <c r="AK80" s="16"/>
      <c r="AL80" s="16"/>
      <c r="AM80" s="16"/>
      <c r="AN80" s="16"/>
      <c r="AO80" s="16"/>
      <c r="AP80" s="16"/>
      <c r="AQ80" s="16"/>
    </row>
    <row r="81" customFormat="false" ht="28.35" hidden="false" customHeight="false" outlineLevel="0" collapsed="false">
      <c r="A81" s="17"/>
      <c r="B81" s="17"/>
      <c r="C81" s="26" t="s">
        <v>253</v>
      </c>
      <c r="D81" s="22"/>
      <c r="E81" s="22"/>
      <c r="F81" s="22"/>
      <c r="G81" s="22" t="n">
        <v>1</v>
      </c>
      <c r="H81" s="26" t="s">
        <v>253</v>
      </c>
      <c r="I81" s="22"/>
      <c r="J81" s="22"/>
      <c r="K81" s="22"/>
      <c r="L81" s="22" t="n">
        <v>1</v>
      </c>
      <c r="M81" s="77"/>
      <c r="N81" s="77"/>
      <c r="O81" s="77"/>
      <c r="P81" s="77"/>
      <c r="Q81" s="77"/>
      <c r="R81" s="26" t="s">
        <v>254</v>
      </c>
      <c r="S81" s="22"/>
      <c r="T81" s="22"/>
      <c r="U81" s="22"/>
      <c r="V81" s="22" t="n">
        <v>1</v>
      </c>
      <c r="W81" s="16"/>
      <c r="X81" s="16"/>
      <c r="Y81" s="16"/>
      <c r="Z81" s="16"/>
      <c r="AA81" s="16"/>
      <c r="AB81" s="16"/>
      <c r="AC81" s="16"/>
      <c r="AD81" s="16"/>
      <c r="AE81" s="16"/>
      <c r="AF81" s="16"/>
      <c r="AG81" s="16"/>
      <c r="AH81" s="16"/>
      <c r="AI81" s="16"/>
      <c r="AJ81" s="16"/>
      <c r="AK81" s="16"/>
      <c r="AL81" s="16"/>
      <c r="AM81" s="16"/>
      <c r="AN81" s="16"/>
      <c r="AO81" s="16"/>
      <c r="AP81" s="16"/>
      <c r="AQ81" s="16"/>
    </row>
    <row r="82" customFormat="false" ht="41.75" hidden="false" customHeight="false" outlineLevel="0" collapsed="false">
      <c r="A82" s="17"/>
      <c r="B82" s="17"/>
      <c r="C82" s="78" t="s">
        <v>255</v>
      </c>
      <c r="D82" s="22"/>
      <c r="E82" s="22"/>
      <c r="F82" s="22"/>
      <c r="G82" s="22" t="n">
        <v>1</v>
      </c>
      <c r="H82" s="26" t="s">
        <v>255</v>
      </c>
      <c r="I82" s="22"/>
      <c r="J82" s="22"/>
      <c r="K82" s="22"/>
      <c r="L82" s="22" t="n">
        <v>1</v>
      </c>
      <c r="M82" s="77"/>
      <c r="N82" s="77"/>
      <c r="O82" s="77"/>
      <c r="P82" s="77"/>
      <c r="Q82" s="77"/>
      <c r="R82" s="26" t="s">
        <v>256</v>
      </c>
      <c r="S82" s="22"/>
      <c r="T82" s="22"/>
      <c r="U82" s="22"/>
      <c r="V82" s="22" t="n">
        <v>1</v>
      </c>
      <c r="W82" s="16"/>
      <c r="X82" s="16"/>
      <c r="Y82" s="16"/>
      <c r="Z82" s="16"/>
      <c r="AA82" s="16"/>
      <c r="AB82" s="16"/>
      <c r="AC82" s="16"/>
      <c r="AD82" s="16"/>
      <c r="AE82" s="16"/>
      <c r="AF82" s="16"/>
      <c r="AG82" s="16"/>
      <c r="AH82" s="16"/>
      <c r="AI82" s="16"/>
      <c r="AJ82" s="16"/>
      <c r="AK82" s="16"/>
      <c r="AL82" s="16"/>
      <c r="AM82" s="16"/>
      <c r="AN82" s="16"/>
      <c r="AO82" s="16"/>
      <c r="AP82" s="16"/>
      <c r="AQ82" s="16"/>
    </row>
    <row r="83" customFormat="false" ht="55.2" hidden="false" customHeight="false" outlineLevel="0" collapsed="false">
      <c r="A83" s="17"/>
      <c r="B83" s="17"/>
      <c r="C83" s="23"/>
      <c r="D83" s="23"/>
      <c r="E83" s="23"/>
      <c r="F83" s="23"/>
      <c r="G83" s="23"/>
      <c r="H83" s="23"/>
      <c r="I83" s="23"/>
      <c r="J83" s="23"/>
      <c r="K83" s="23"/>
      <c r="L83" s="23"/>
      <c r="M83" s="23"/>
      <c r="N83" s="23"/>
      <c r="O83" s="23"/>
      <c r="P83" s="23"/>
      <c r="Q83" s="23"/>
      <c r="R83" s="26" t="s">
        <v>257</v>
      </c>
      <c r="S83" s="22"/>
      <c r="T83" s="22"/>
      <c r="U83" s="22"/>
      <c r="V83" s="22" t="n">
        <v>1</v>
      </c>
      <c r="W83" s="16"/>
      <c r="X83" s="16"/>
      <c r="Y83" s="16"/>
      <c r="Z83" s="16"/>
      <c r="AA83" s="16"/>
      <c r="AB83" s="16"/>
      <c r="AC83" s="16"/>
      <c r="AD83" s="16"/>
      <c r="AE83" s="16"/>
      <c r="AF83" s="16"/>
      <c r="AG83" s="16"/>
      <c r="AH83" s="16"/>
      <c r="AI83" s="16"/>
      <c r="AJ83" s="16"/>
      <c r="AK83" s="16"/>
      <c r="AL83" s="16"/>
      <c r="AM83" s="16"/>
      <c r="AN83" s="16"/>
      <c r="AO83" s="16"/>
      <c r="AP83" s="16"/>
      <c r="AQ83" s="16"/>
    </row>
    <row r="84" customFormat="false" ht="28.35" hidden="false" customHeight="false" outlineLevel="0" collapsed="false">
      <c r="A84" s="17"/>
      <c r="B84" s="17"/>
      <c r="C84" s="17"/>
      <c r="D84" s="23"/>
      <c r="E84" s="23"/>
      <c r="F84" s="23"/>
      <c r="G84" s="23"/>
      <c r="H84" s="23"/>
      <c r="I84" s="23"/>
      <c r="J84" s="23"/>
      <c r="K84" s="23"/>
      <c r="L84" s="23"/>
      <c r="M84" s="23"/>
      <c r="N84" s="23"/>
      <c r="O84" s="23"/>
      <c r="P84" s="23"/>
      <c r="Q84" s="23"/>
      <c r="R84" s="26" t="s">
        <v>258</v>
      </c>
      <c r="S84" s="22"/>
      <c r="T84" s="22"/>
      <c r="U84" s="22"/>
      <c r="V84" s="22" t="n">
        <v>1</v>
      </c>
      <c r="W84" s="16"/>
      <c r="X84" s="16"/>
      <c r="Y84" s="16"/>
      <c r="Z84" s="16"/>
      <c r="AA84" s="16"/>
      <c r="AB84" s="16"/>
      <c r="AC84" s="16"/>
      <c r="AD84" s="16"/>
      <c r="AE84" s="16"/>
      <c r="AF84" s="16"/>
      <c r="AG84" s="16"/>
      <c r="AH84" s="16"/>
      <c r="AI84" s="16"/>
      <c r="AJ84" s="16"/>
      <c r="AK84" s="16"/>
      <c r="AL84" s="16"/>
      <c r="AM84" s="16"/>
      <c r="AN84" s="16"/>
      <c r="AO84" s="16"/>
      <c r="AP84" s="16"/>
      <c r="AQ84" s="16"/>
    </row>
    <row r="85" customFormat="false" ht="68.65" hidden="false" customHeight="false" outlineLevel="0" collapsed="false">
      <c r="A85" s="17"/>
      <c r="B85" s="17"/>
      <c r="C85" s="17"/>
      <c r="D85" s="23"/>
      <c r="E85" s="23"/>
      <c r="F85" s="23"/>
      <c r="G85" s="23"/>
      <c r="H85" s="23"/>
      <c r="I85" s="23"/>
      <c r="J85" s="23"/>
      <c r="K85" s="23"/>
      <c r="L85" s="23"/>
      <c r="M85" s="23"/>
      <c r="N85" s="23"/>
      <c r="O85" s="23"/>
      <c r="P85" s="23"/>
      <c r="Q85" s="23"/>
      <c r="R85" s="26" t="s">
        <v>259</v>
      </c>
      <c r="S85" s="22"/>
      <c r="T85" s="22"/>
      <c r="U85" s="22"/>
      <c r="V85" s="22" t="n">
        <v>1</v>
      </c>
      <c r="W85" s="16"/>
      <c r="X85" s="16"/>
      <c r="Y85" s="16"/>
      <c r="Z85" s="16"/>
      <c r="AA85" s="16"/>
      <c r="AB85" s="16"/>
      <c r="AC85" s="16"/>
      <c r="AD85" s="16"/>
      <c r="AE85" s="16"/>
      <c r="AF85" s="16"/>
      <c r="AG85" s="16"/>
      <c r="AH85" s="16"/>
      <c r="AI85" s="16"/>
      <c r="AJ85" s="16"/>
      <c r="AK85" s="16"/>
      <c r="AL85" s="16"/>
      <c r="AM85" s="16"/>
      <c r="AN85" s="16"/>
      <c r="AO85" s="16"/>
      <c r="AP85" s="16"/>
      <c r="AQ85" s="16"/>
    </row>
    <row r="86" customFormat="false" ht="15.75" hidden="false" customHeight="true" outlineLevel="0" collapsed="false">
      <c r="A86" s="79"/>
      <c r="B86" s="80" t="s">
        <v>88</v>
      </c>
      <c r="C86" s="80"/>
      <c r="D86" s="81" t="e">
        <f aca="false">IF( AND(COUNT(D73:G73)=1,COUNT(D74:G74)=1,COUNT(D75:G75)=1,COUNT(D76:G76)=1,COUNT(D77:G77)=1,COUNT(D78:G78)=1,COUNT(D79:G79)=1,COUNT(D80:G80)=1,COUNT(D81:G81)=1,COUNT(D82:G82)=1), (SUM(F73:F82) + (SUM(E73:E82)/2)) / COUNTBLANK(G73:G82), "Error - check cell values")</f>
        <v>#DIV/0!</v>
      </c>
      <c r="E86" s="81"/>
      <c r="F86" s="82" t="n">
        <f aca="false">COUNTBLANK(G73:G82)</f>
        <v>0</v>
      </c>
      <c r="G86" s="82" t="n">
        <f aca="false">ROWS(G73:G82)</f>
        <v>10</v>
      </c>
      <c r="H86" s="83" t="s">
        <v>88</v>
      </c>
      <c r="I86" s="81" t="e">
        <f aca="false">IF( AND(COUNT(I73:L73)=1,COUNT(I74:L74)=1,COUNT(I75:L75)=1,COUNT(I76:L76)=1,COUNT(I77:L77)=1,COUNT(I78:L78)=1,COUNT(I79:L79)=1,COUNT(I80:L80)=1,COUNT(I81:L81)=1,COUNT(I82:L82)=1), (SUM(K73:K82) + (SUM(J73:J82)/2)) / COUNTBLANK(L73:L82), "Error - check cell values")</f>
        <v>#DIV/0!</v>
      </c>
      <c r="J86" s="81"/>
      <c r="K86" s="82" t="n">
        <f aca="false">COUNTBLANK(L73:L82)</f>
        <v>0</v>
      </c>
      <c r="L86" s="82" t="n">
        <f aca="false">ROWS(L73:L82)</f>
        <v>10</v>
      </c>
      <c r="M86" s="83" t="s">
        <v>88</v>
      </c>
      <c r="N86" s="81" t="e">
        <f aca="false">IF( AND(COUNT(N73:Q73)=1,COUNT(N74:Q74)=1,COUNT(N75:Q75)=1,COUNT(N76:Q76)=1,COUNT(N77:Q77)=1,COUNT(N78:Q78)=1,COUNT(N79:Q79)=1,COUNT(N80:Q80)=1), (SUM(P73:P80) + (SUM(O73:O80)/2)) / COUNTBLANK(Q73:Q80), "Error - check cell values")</f>
        <v>#DIV/0!</v>
      </c>
      <c r="O86" s="81"/>
      <c r="P86" s="82" t="n">
        <f aca="false">COUNTBLANK(Q73:Q80)</f>
        <v>0</v>
      </c>
      <c r="Q86" s="82" t="n">
        <f aca="false">ROWS(Q73:Q80)</f>
        <v>8</v>
      </c>
      <c r="R86" s="83" t="s">
        <v>88</v>
      </c>
      <c r="S86" s="81" t="e">
        <f aca="false">IF( AND(COUNT(S73:V73)=1,COUNT(S74:V74)=1,COUNT(S75:V75)=1,COUNT(S76:V76)=1,COUNT(S77:V77)=1,COUNT(S78:V78)=1,COUNT(S79:V79)=1,COUNT(S80:V80)=1,COUNT(S81:V81)=1,COUNT(S82:V82)=1,COUNT(S83:V83)=1,COUNT(S84:V84)=1,COUNT(S85:V85)=1), (SUM(U73:U85) + (SUM(T73:T85)/2)) / COUNTBLANK(V73:V85), "Error - check cell values")</f>
        <v>#DIV/0!</v>
      </c>
      <c r="T86" s="81"/>
      <c r="U86" s="82" t="n">
        <f aca="false">COUNTBLANK(V73:V85)</f>
        <v>0</v>
      </c>
      <c r="V86" s="82" t="n">
        <f aca="false">ROWS(V73:V85)</f>
        <v>13</v>
      </c>
      <c r="W86" s="16"/>
      <c r="X86" s="16"/>
      <c r="Y86" s="16"/>
      <c r="Z86" s="16"/>
      <c r="AA86" s="16"/>
      <c r="AB86" s="16"/>
      <c r="AC86" s="16"/>
      <c r="AD86" s="16"/>
      <c r="AE86" s="16"/>
      <c r="AF86" s="16"/>
      <c r="AG86" s="16"/>
      <c r="AH86" s="16"/>
      <c r="AI86" s="16"/>
      <c r="AJ86" s="16"/>
      <c r="AK86" s="16"/>
      <c r="AL86" s="16"/>
      <c r="AM86" s="16"/>
      <c r="AN86" s="16"/>
      <c r="AO86" s="16"/>
      <c r="AP86" s="16"/>
      <c r="AQ86" s="16"/>
    </row>
    <row r="87" customFormat="false" ht="15.75" hidden="false" customHeight="false" outlineLevel="0" collapsed="false">
      <c r="A87" s="16"/>
      <c r="B87" s="84"/>
      <c r="C87" s="59"/>
      <c r="D87" s="59"/>
      <c r="E87" s="59"/>
      <c r="F87" s="59"/>
      <c r="G87" s="59"/>
      <c r="H87" s="59"/>
      <c r="I87" s="59"/>
      <c r="J87" s="59"/>
      <c r="K87" s="59"/>
      <c r="L87" s="59"/>
      <c r="M87" s="59"/>
      <c r="N87" s="59"/>
      <c r="O87" s="59"/>
      <c r="P87" s="59"/>
      <c r="Q87" s="59"/>
      <c r="R87" s="59"/>
      <c r="S87" s="59"/>
      <c r="T87" s="59"/>
      <c r="U87" s="59"/>
      <c r="V87" s="59"/>
      <c r="W87" s="16"/>
      <c r="X87" s="16"/>
      <c r="Y87" s="16"/>
      <c r="Z87" s="16"/>
      <c r="AA87" s="16"/>
      <c r="AB87" s="16"/>
      <c r="AC87" s="16"/>
      <c r="AD87" s="16"/>
      <c r="AE87" s="16"/>
      <c r="AF87" s="16"/>
      <c r="AG87" s="16"/>
      <c r="AH87" s="16"/>
      <c r="AI87" s="16"/>
      <c r="AJ87" s="16"/>
      <c r="AK87" s="16"/>
      <c r="AL87" s="16"/>
      <c r="AM87" s="16"/>
      <c r="AN87" s="16"/>
      <c r="AO87" s="16"/>
      <c r="AP87" s="16"/>
      <c r="AQ87" s="16"/>
    </row>
    <row r="88" customFormat="false" ht="15.75" hidden="false" customHeight="false" outlineLevel="0" collapsed="false">
      <c r="A88" s="16"/>
      <c r="B88" s="84"/>
      <c r="C88" s="59"/>
      <c r="D88" s="59"/>
      <c r="E88" s="59"/>
      <c r="F88" s="59"/>
      <c r="G88" s="59"/>
      <c r="H88" s="59"/>
      <c r="I88" s="59"/>
      <c r="J88" s="59"/>
      <c r="K88" s="59"/>
      <c r="L88" s="59"/>
      <c r="M88" s="59"/>
      <c r="N88" s="59"/>
      <c r="O88" s="59"/>
      <c r="P88" s="59"/>
      <c r="Q88" s="59"/>
      <c r="R88" s="59"/>
      <c r="S88" s="59"/>
      <c r="T88" s="59"/>
      <c r="U88" s="59"/>
      <c r="V88" s="59"/>
      <c r="W88" s="16"/>
      <c r="X88" s="16"/>
      <c r="Y88" s="16"/>
      <c r="Z88" s="16"/>
      <c r="AA88" s="16"/>
      <c r="AB88" s="16"/>
      <c r="AC88" s="16"/>
      <c r="AD88" s="16"/>
      <c r="AE88" s="16"/>
      <c r="AF88" s="16"/>
      <c r="AG88" s="16"/>
      <c r="AH88" s="16"/>
      <c r="AI88" s="16"/>
      <c r="AJ88" s="16"/>
      <c r="AK88" s="16"/>
      <c r="AL88" s="16"/>
      <c r="AM88" s="16"/>
      <c r="AN88" s="16"/>
      <c r="AO88" s="16"/>
      <c r="AP88" s="16"/>
      <c r="AQ88" s="16"/>
    </row>
    <row r="89" customFormat="false" ht="15.75" hidden="false" customHeight="false" outlineLevel="0" collapsed="false">
      <c r="A89" s="16"/>
      <c r="B89" s="84"/>
      <c r="C89" s="59"/>
      <c r="D89" s="59"/>
      <c r="E89" s="59"/>
      <c r="F89" s="59"/>
      <c r="G89" s="59"/>
      <c r="H89" s="59"/>
      <c r="I89" s="59"/>
      <c r="J89" s="59"/>
      <c r="K89" s="59"/>
      <c r="L89" s="59"/>
      <c r="M89" s="59"/>
      <c r="N89" s="59"/>
      <c r="O89" s="59"/>
      <c r="P89" s="59"/>
      <c r="Q89" s="59"/>
      <c r="R89" s="59"/>
      <c r="S89" s="59"/>
      <c r="T89" s="59"/>
      <c r="U89" s="59"/>
      <c r="V89" s="59"/>
      <c r="W89" s="16"/>
      <c r="X89" s="16"/>
      <c r="Y89" s="16"/>
      <c r="Z89" s="16"/>
      <c r="AA89" s="16"/>
      <c r="AB89" s="16"/>
      <c r="AC89" s="16"/>
      <c r="AD89" s="16"/>
      <c r="AE89" s="16"/>
      <c r="AF89" s="16"/>
      <c r="AG89" s="16"/>
      <c r="AH89" s="16"/>
      <c r="AI89" s="16"/>
      <c r="AJ89" s="16"/>
      <c r="AK89" s="16"/>
      <c r="AL89" s="16"/>
      <c r="AM89" s="16"/>
      <c r="AN89" s="16"/>
      <c r="AO89" s="16"/>
      <c r="AP89" s="16"/>
      <c r="AQ89" s="16"/>
    </row>
    <row r="90" customFormat="false" ht="15.75" hidden="false" customHeight="false" outlineLevel="0" collapsed="false">
      <c r="A90" s="16"/>
      <c r="B90" s="84"/>
      <c r="C90" s="16"/>
      <c r="D90" s="16"/>
      <c r="E90" s="16"/>
      <c r="F90" s="16"/>
      <c r="G90" s="16"/>
      <c r="H90" s="16"/>
      <c r="I90" s="16"/>
      <c r="J90" s="16"/>
      <c r="K90" s="16"/>
      <c r="L90" s="16"/>
      <c r="M90" s="84"/>
      <c r="N90" s="84"/>
      <c r="O90" s="84"/>
      <c r="P90" s="84"/>
      <c r="Q90" s="84"/>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row>
    <row r="91" customFormat="false" ht="15.75" hidden="false" customHeight="false" outlineLevel="0" collapsed="false">
      <c r="A91" s="16"/>
      <c r="B91" s="84"/>
      <c r="C91" s="16"/>
      <c r="D91" s="16"/>
      <c r="E91" s="16"/>
      <c r="F91" s="16"/>
      <c r="G91" s="16"/>
      <c r="H91" s="16"/>
      <c r="I91" s="16"/>
      <c r="J91" s="16"/>
      <c r="K91" s="16"/>
      <c r="L91" s="16"/>
      <c r="M91" s="84"/>
      <c r="N91" s="84"/>
      <c r="O91" s="84"/>
      <c r="P91" s="84"/>
      <c r="Q91" s="84"/>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row>
    <row r="92" customFormat="false" ht="15.75" hidden="false" customHeight="false" outlineLevel="0" collapsed="false">
      <c r="A92" s="16"/>
      <c r="B92" s="84"/>
      <c r="C92" s="16"/>
      <c r="D92" s="16"/>
      <c r="E92" s="16"/>
      <c r="F92" s="16"/>
      <c r="G92" s="16"/>
      <c r="H92" s="16"/>
      <c r="I92" s="16"/>
      <c r="J92" s="16"/>
      <c r="K92" s="16"/>
      <c r="L92" s="16"/>
      <c r="M92" s="84"/>
      <c r="N92" s="84"/>
      <c r="O92" s="84"/>
      <c r="P92" s="84"/>
      <c r="Q92" s="84"/>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row>
    <row r="93" customFormat="false" ht="15.75" hidden="false" customHeight="false" outlineLevel="0" collapsed="false">
      <c r="A93" s="16"/>
      <c r="B93" s="84"/>
      <c r="C93" s="16"/>
      <c r="D93" s="16"/>
      <c r="E93" s="16"/>
      <c r="F93" s="16"/>
      <c r="G93" s="16"/>
      <c r="H93" s="16"/>
      <c r="I93" s="16"/>
      <c r="J93" s="16"/>
      <c r="K93" s="16"/>
      <c r="L93" s="16"/>
      <c r="M93" s="84"/>
      <c r="N93" s="84"/>
      <c r="O93" s="84"/>
      <c r="P93" s="84"/>
      <c r="Q93" s="84"/>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row>
    <row r="94" customFormat="false" ht="15.75" hidden="false" customHeight="false" outlineLevel="0" collapsed="false">
      <c r="A94" s="16"/>
      <c r="B94" s="84"/>
      <c r="C94" s="16"/>
      <c r="D94" s="16"/>
      <c r="E94" s="16"/>
      <c r="F94" s="16"/>
      <c r="G94" s="16"/>
      <c r="H94" s="16"/>
      <c r="I94" s="16"/>
      <c r="J94" s="16"/>
      <c r="K94" s="16"/>
      <c r="L94" s="16"/>
      <c r="M94" s="84"/>
      <c r="N94" s="84"/>
      <c r="O94" s="84"/>
      <c r="P94" s="84"/>
      <c r="Q94" s="84"/>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row>
    <row r="95" customFormat="false" ht="15.75" hidden="false" customHeight="false" outlineLevel="0" collapsed="false">
      <c r="A95" s="16"/>
      <c r="B95" s="84"/>
      <c r="C95" s="16"/>
      <c r="D95" s="16"/>
      <c r="E95" s="16"/>
      <c r="F95" s="16"/>
      <c r="G95" s="16"/>
      <c r="H95" s="16"/>
      <c r="I95" s="16"/>
      <c r="J95" s="16"/>
      <c r="K95" s="16"/>
      <c r="L95" s="16"/>
      <c r="M95" s="84"/>
      <c r="N95" s="84"/>
      <c r="O95" s="84"/>
      <c r="P95" s="84"/>
      <c r="Q95" s="84"/>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row>
    <row r="96" customFormat="false" ht="15.75" hidden="false" customHeight="false" outlineLevel="0" collapsed="false">
      <c r="A96" s="16"/>
      <c r="B96" s="84"/>
      <c r="C96" s="16"/>
      <c r="D96" s="16"/>
      <c r="E96" s="16"/>
      <c r="F96" s="16"/>
      <c r="G96" s="16"/>
      <c r="H96" s="16"/>
      <c r="I96" s="16"/>
      <c r="J96" s="16"/>
      <c r="K96" s="16"/>
      <c r="L96" s="16"/>
      <c r="M96" s="84"/>
      <c r="N96" s="84"/>
      <c r="O96" s="84"/>
      <c r="P96" s="84"/>
      <c r="Q96" s="84"/>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row>
    <row r="97" customFormat="false" ht="15.75" hidden="false" customHeight="false" outlineLevel="0" collapsed="false">
      <c r="A97" s="16"/>
      <c r="B97" s="84"/>
      <c r="C97" s="16"/>
      <c r="D97" s="16"/>
      <c r="E97" s="16"/>
      <c r="F97" s="16"/>
      <c r="G97" s="16"/>
      <c r="H97" s="16"/>
      <c r="I97" s="16"/>
      <c r="J97" s="16"/>
      <c r="K97" s="16"/>
      <c r="L97" s="16"/>
      <c r="M97" s="84"/>
      <c r="N97" s="84"/>
      <c r="O97" s="84"/>
      <c r="P97" s="84"/>
      <c r="Q97" s="84"/>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row>
    <row r="98" customFormat="false" ht="15.75" hidden="false" customHeight="false" outlineLevel="0" collapsed="false">
      <c r="A98" s="16"/>
      <c r="B98" s="84"/>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row>
    <row r="99" customFormat="false" ht="15.75" hidden="false" customHeight="false" outlineLevel="0" collapsed="false">
      <c r="A99" s="16"/>
      <c r="B99" s="84"/>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row>
    <row r="100" customFormat="false" ht="15.75" hidden="false" customHeight="false" outlineLevel="0" collapsed="false">
      <c r="A100" s="16"/>
      <c r="B100" s="84"/>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row>
    <row r="101" customFormat="false" ht="15.75" hidden="false" customHeight="false" outlineLevel="0" collapsed="false">
      <c r="A101" s="16"/>
      <c r="B101" s="84"/>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row>
    <row r="102" customFormat="false" ht="15.75" hidden="false" customHeight="false" outlineLevel="0" collapsed="false">
      <c r="A102" s="16"/>
      <c r="B102" s="84"/>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row>
    <row r="103" customFormat="false" ht="15.75" hidden="false" customHeight="false" outlineLevel="0" collapsed="false">
      <c r="A103" s="16"/>
      <c r="B103" s="84"/>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row>
    <row r="104" customFormat="false" ht="15.75" hidden="false" customHeight="false" outlineLevel="0" collapsed="false">
      <c r="A104" s="16"/>
      <c r="B104" s="84"/>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row>
    <row r="105" customFormat="false" ht="15.75" hidden="false" customHeight="false" outlineLevel="0" collapsed="false">
      <c r="A105" s="16"/>
      <c r="B105" s="84"/>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row>
    <row r="106" customFormat="false" ht="15.75" hidden="false" customHeight="false" outlineLevel="0" collapsed="false">
      <c r="A106" s="16"/>
      <c r="B106" s="84"/>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row>
    <row r="107" customFormat="false" ht="15.75" hidden="false" customHeight="false" outlineLevel="0" collapsed="false">
      <c r="A107" s="16"/>
      <c r="B107" s="84"/>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row>
    <row r="108" customFormat="false" ht="15.75" hidden="false" customHeight="false" outlineLevel="0" collapsed="false">
      <c r="A108" s="16"/>
      <c r="B108" s="84"/>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row>
    <row r="109" customFormat="false" ht="15.75" hidden="false" customHeight="false" outlineLevel="0" collapsed="false">
      <c r="A109" s="16"/>
      <c r="B109" s="84"/>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row>
    <row r="110" customFormat="false" ht="15.75" hidden="false" customHeight="false" outlineLevel="0" collapsed="false">
      <c r="A110" s="16"/>
      <c r="B110" s="84"/>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row>
    <row r="111" customFormat="false" ht="15.75" hidden="false" customHeight="false" outlineLevel="0" collapsed="false">
      <c r="A111" s="16"/>
      <c r="B111" s="84"/>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row>
    <row r="112" customFormat="false" ht="15.75" hidden="false" customHeight="false" outlineLevel="0" collapsed="false">
      <c r="A112" s="16"/>
      <c r="B112" s="84"/>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row>
    <row r="113" customFormat="false" ht="15.75" hidden="false" customHeight="false" outlineLevel="0" collapsed="false">
      <c r="A113" s="16"/>
      <c r="B113" s="84"/>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row>
    <row r="114" customFormat="false" ht="15.75" hidden="false" customHeight="false" outlineLevel="0" collapsed="false">
      <c r="A114" s="16"/>
      <c r="B114" s="84"/>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row>
    <row r="115" customFormat="false" ht="15.75" hidden="false" customHeight="false" outlineLevel="0" collapsed="false">
      <c r="A115" s="16"/>
      <c r="B115" s="84"/>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row>
    <row r="116" customFormat="false" ht="15.75" hidden="false" customHeight="false" outlineLevel="0" collapsed="false">
      <c r="A116" s="16"/>
      <c r="B116" s="84"/>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row>
    <row r="117" customFormat="false" ht="15.75" hidden="false" customHeight="false" outlineLevel="0" collapsed="false">
      <c r="A117" s="16"/>
      <c r="B117" s="84"/>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row>
    <row r="118" customFormat="false" ht="15.75" hidden="false" customHeight="false" outlineLevel="0" collapsed="false">
      <c r="A118" s="16"/>
      <c r="B118" s="84"/>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row>
    <row r="119" customFormat="false" ht="15.75" hidden="false" customHeight="false" outlineLevel="0" collapsed="false">
      <c r="A119" s="16"/>
      <c r="B119" s="84"/>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row>
    <row r="120" customFormat="false" ht="15.75" hidden="false" customHeight="false" outlineLevel="0" collapsed="false">
      <c r="A120" s="16"/>
      <c r="B120" s="84"/>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row>
    <row r="121" customFormat="false" ht="15.75" hidden="false" customHeight="false" outlineLevel="0" collapsed="false">
      <c r="A121" s="16"/>
      <c r="B121" s="84"/>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row>
    <row r="122" customFormat="false" ht="15.75" hidden="false" customHeight="false" outlineLevel="0" collapsed="false">
      <c r="A122" s="16"/>
      <c r="B122" s="84"/>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row>
    <row r="123" customFormat="false" ht="15.75" hidden="false" customHeight="false" outlineLevel="0" collapsed="false">
      <c r="A123" s="16"/>
      <c r="B123" s="84"/>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row>
    <row r="124" customFormat="false" ht="15.75" hidden="false" customHeight="false" outlineLevel="0" collapsed="false">
      <c r="A124" s="16"/>
      <c r="B124" s="84"/>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row>
    <row r="125" customFormat="false" ht="15.75" hidden="false" customHeight="false" outlineLevel="0" collapsed="false">
      <c r="A125" s="16"/>
      <c r="B125" s="84"/>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row>
    <row r="126" customFormat="false" ht="15.75" hidden="false" customHeight="false" outlineLevel="0" collapsed="false">
      <c r="A126" s="16"/>
      <c r="B126" s="84"/>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row>
    <row r="127" customFormat="false" ht="15.75" hidden="false" customHeight="false" outlineLevel="0" collapsed="false">
      <c r="A127" s="16"/>
      <c r="B127" s="84"/>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row>
    <row r="128" customFormat="false" ht="15.75" hidden="false" customHeight="false" outlineLevel="0" collapsed="false">
      <c r="A128" s="16"/>
      <c r="B128" s="84"/>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row>
    <row r="129" customFormat="false" ht="15.75" hidden="false" customHeight="false" outlineLevel="0" collapsed="false">
      <c r="A129" s="16"/>
      <c r="B129" s="8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row>
    <row r="130" customFormat="false" ht="15.75" hidden="false" customHeight="false" outlineLevel="0" collapsed="false">
      <c r="A130" s="16"/>
      <c r="B130" s="8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row>
    <row r="131" customFormat="false" ht="15.75" hidden="false" customHeight="false" outlineLevel="0" collapsed="false">
      <c r="A131" s="16"/>
      <c r="B131" s="84"/>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row>
    <row r="132" customFormat="false" ht="15.75" hidden="false" customHeight="false" outlineLevel="0" collapsed="false">
      <c r="A132" s="16"/>
      <c r="B132" s="84"/>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row>
    <row r="133" customFormat="false" ht="15.75" hidden="false" customHeight="false" outlineLevel="0" collapsed="false">
      <c r="A133" s="16"/>
      <c r="B133" s="84"/>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row>
    <row r="134" customFormat="false" ht="15.75" hidden="false" customHeight="false" outlineLevel="0" collapsed="false">
      <c r="A134" s="16"/>
      <c r="B134" s="84"/>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row>
    <row r="135" customFormat="false" ht="15.75" hidden="false" customHeight="false" outlineLevel="0" collapsed="false">
      <c r="A135" s="16"/>
      <c r="B135" s="84"/>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row>
    <row r="136" customFormat="false" ht="15.75" hidden="false" customHeight="false" outlineLevel="0" collapsed="false">
      <c r="A136" s="16"/>
      <c r="B136" s="84"/>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row>
    <row r="137" customFormat="false" ht="15.75" hidden="false" customHeight="false" outlineLevel="0" collapsed="false">
      <c r="A137" s="16"/>
      <c r="B137" s="84"/>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row>
    <row r="138" customFormat="false" ht="15.75" hidden="false" customHeight="false" outlineLevel="0" collapsed="false">
      <c r="A138" s="16"/>
      <c r="B138" s="84"/>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row>
    <row r="139" customFormat="false" ht="15.75" hidden="false" customHeight="false" outlineLevel="0" collapsed="false">
      <c r="A139" s="16"/>
      <c r="B139" s="84"/>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row>
    <row r="140" customFormat="false" ht="15.75" hidden="false" customHeight="false" outlineLevel="0" collapsed="false">
      <c r="A140" s="16"/>
      <c r="B140" s="84"/>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row>
    <row r="141" customFormat="false" ht="15.75" hidden="false" customHeight="false" outlineLevel="0" collapsed="false">
      <c r="A141" s="16"/>
      <c r="B141" s="84"/>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row>
    <row r="142" customFormat="false" ht="15.75" hidden="false" customHeight="false" outlineLevel="0" collapsed="false">
      <c r="A142" s="16"/>
      <c r="B142" s="84"/>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row>
    <row r="143" customFormat="false" ht="15.75" hidden="false" customHeight="false" outlineLevel="0" collapsed="false">
      <c r="A143" s="16"/>
      <c r="B143" s="84"/>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row>
    <row r="144" customFormat="false" ht="15.75" hidden="false" customHeight="false" outlineLevel="0" collapsed="false">
      <c r="A144" s="16"/>
      <c r="B144" s="84"/>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row>
    <row r="145" customFormat="false" ht="15.75" hidden="false" customHeight="false" outlineLevel="0" collapsed="false">
      <c r="A145" s="16"/>
      <c r="B145" s="84"/>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row>
    <row r="146" customFormat="false" ht="15.75" hidden="false" customHeight="false" outlineLevel="0" collapsed="false">
      <c r="A146" s="16"/>
      <c r="B146" s="84"/>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row>
    <row r="147" customFormat="false" ht="15.75" hidden="false" customHeight="false" outlineLevel="0" collapsed="false">
      <c r="A147" s="16"/>
      <c r="B147" s="84"/>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row>
    <row r="148" customFormat="false" ht="15.75" hidden="false" customHeight="false" outlineLevel="0" collapsed="false">
      <c r="A148" s="16"/>
      <c r="B148" s="84"/>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row>
    <row r="149" customFormat="false" ht="15.75" hidden="false" customHeight="false" outlineLevel="0" collapsed="false">
      <c r="A149" s="16"/>
      <c r="B149" s="84"/>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row>
    <row r="150" customFormat="false" ht="15.75" hidden="false" customHeight="false" outlineLevel="0" collapsed="false">
      <c r="A150" s="16"/>
      <c r="B150" s="84"/>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row>
    <row r="151" customFormat="false" ht="15.75" hidden="false" customHeight="false" outlineLevel="0" collapsed="false">
      <c r="A151" s="16"/>
      <c r="B151" s="84"/>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row>
    <row r="152" customFormat="false" ht="15.75" hidden="false" customHeight="false" outlineLevel="0" collapsed="false">
      <c r="A152" s="16"/>
      <c r="B152" s="84"/>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row>
    <row r="153" customFormat="false" ht="15.75" hidden="false" customHeight="false" outlineLevel="0" collapsed="false">
      <c r="A153" s="16"/>
      <c r="B153" s="84"/>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row>
    <row r="154" customFormat="false" ht="15.75" hidden="false" customHeight="false" outlineLevel="0" collapsed="false">
      <c r="A154" s="16"/>
      <c r="B154" s="84"/>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row>
    <row r="155" customFormat="false" ht="15.75" hidden="false" customHeight="false" outlineLevel="0" collapsed="false">
      <c r="A155" s="16"/>
      <c r="B155" s="8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row>
    <row r="156" customFormat="false" ht="15.75" hidden="false" customHeight="false" outlineLevel="0" collapsed="false">
      <c r="A156" s="16"/>
      <c r="B156" s="8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row>
    <row r="157" customFormat="false" ht="15.75" hidden="false" customHeight="false" outlineLevel="0" collapsed="false">
      <c r="A157" s="16"/>
      <c r="B157" s="8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row>
    <row r="158" customFormat="false" ht="15.75" hidden="false" customHeight="false" outlineLevel="0" collapsed="false">
      <c r="A158" s="16"/>
      <c r="B158" s="8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row>
    <row r="159" customFormat="false" ht="15.75" hidden="false" customHeight="false" outlineLevel="0" collapsed="false">
      <c r="A159" s="16"/>
      <c r="B159" s="8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row>
    <row r="160" customFormat="false" ht="15.75" hidden="false" customHeight="false" outlineLevel="0" collapsed="false">
      <c r="A160" s="16"/>
      <c r="B160" s="8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row>
    <row r="161" customFormat="false" ht="15.75" hidden="false" customHeight="false" outlineLevel="0" collapsed="false">
      <c r="A161" s="16"/>
      <c r="B161" s="8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row>
    <row r="162" customFormat="false" ht="15.75" hidden="false" customHeight="false" outlineLevel="0" collapsed="false">
      <c r="A162" s="16"/>
      <c r="B162" s="8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row>
    <row r="163" customFormat="false" ht="15.75" hidden="false" customHeight="false" outlineLevel="0" collapsed="false">
      <c r="A163" s="16"/>
      <c r="B163" s="8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row>
    <row r="164" customFormat="false" ht="15.75" hidden="false" customHeight="false" outlineLevel="0" collapsed="false">
      <c r="A164" s="16"/>
      <c r="B164" s="8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row>
    <row r="165" customFormat="false" ht="15.75" hidden="false" customHeight="false" outlineLevel="0" collapsed="false">
      <c r="A165" s="16"/>
      <c r="B165" s="8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row>
    <row r="166" customFormat="false" ht="15.75" hidden="false" customHeight="false" outlineLevel="0" collapsed="false">
      <c r="A166" s="16"/>
      <c r="B166" s="8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row>
    <row r="167" customFormat="false" ht="15.75" hidden="false" customHeight="false" outlineLevel="0" collapsed="false">
      <c r="A167" s="16"/>
      <c r="B167" s="8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row>
    <row r="168" customFormat="false" ht="15.75" hidden="false" customHeight="false" outlineLevel="0" collapsed="false">
      <c r="A168" s="16"/>
      <c r="B168" s="8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row>
    <row r="169" customFormat="false" ht="15.75" hidden="false" customHeight="false" outlineLevel="0" collapsed="false">
      <c r="A169" s="16"/>
      <c r="B169" s="8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row>
    <row r="170" customFormat="false" ht="15.75" hidden="false" customHeight="false" outlineLevel="0" collapsed="false">
      <c r="A170" s="16"/>
      <c r="B170" s="8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row>
    <row r="171" customFormat="false" ht="15.75" hidden="false" customHeight="false" outlineLevel="0" collapsed="false">
      <c r="A171" s="16"/>
      <c r="B171" s="8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row>
    <row r="172" customFormat="false" ht="15.75" hidden="false" customHeight="false" outlineLevel="0" collapsed="false">
      <c r="A172" s="16"/>
      <c r="B172" s="8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row>
    <row r="173" customFormat="false" ht="15.75" hidden="false" customHeight="false" outlineLevel="0" collapsed="false">
      <c r="A173" s="16"/>
      <c r="B173" s="8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row>
    <row r="174" customFormat="false" ht="15.75" hidden="false" customHeight="false" outlineLevel="0" collapsed="false">
      <c r="A174" s="16"/>
      <c r="B174" s="8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row>
    <row r="175" customFormat="false" ht="15.75" hidden="false" customHeight="false" outlineLevel="0" collapsed="false">
      <c r="A175" s="16"/>
      <c r="B175" s="8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row>
    <row r="176" customFormat="false" ht="15.75" hidden="false" customHeight="false" outlineLevel="0" collapsed="false">
      <c r="A176" s="16"/>
      <c r="B176" s="8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row>
    <row r="177" customFormat="false" ht="15.75" hidden="false" customHeight="false" outlineLevel="0" collapsed="false">
      <c r="A177" s="16"/>
      <c r="B177" s="8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row>
    <row r="178" customFormat="false" ht="15.75" hidden="false" customHeight="false" outlineLevel="0" collapsed="false">
      <c r="A178" s="16"/>
      <c r="B178" s="8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row>
    <row r="179" customFormat="false" ht="15.75" hidden="false" customHeight="false" outlineLevel="0" collapsed="false">
      <c r="A179" s="16"/>
      <c r="B179" s="8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row>
    <row r="180" customFormat="false" ht="15.75" hidden="false" customHeight="false" outlineLevel="0" collapsed="false">
      <c r="A180" s="16"/>
      <c r="B180" s="8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row>
    <row r="181" customFormat="false" ht="15.75" hidden="false" customHeight="false" outlineLevel="0" collapsed="false">
      <c r="A181" s="16"/>
      <c r="B181" s="8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row>
    <row r="182" customFormat="false" ht="15.75" hidden="false" customHeight="false" outlineLevel="0" collapsed="false">
      <c r="A182" s="16"/>
      <c r="B182" s="8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row>
    <row r="183" customFormat="false" ht="15.75" hidden="false" customHeight="false" outlineLevel="0" collapsed="false">
      <c r="A183" s="16"/>
      <c r="B183" s="8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row>
    <row r="184" customFormat="false" ht="15.75" hidden="false" customHeight="false" outlineLevel="0" collapsed="false">
      <c r="A184" s="16"/>
      <c r="B184" s="8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row>
    <row r="185" customFormat="false" ht="15.75" hidden="false" customHeight="false" outlineLevel="0" collapsed="false">
      <c r="A185" s="16"/>
      <c r="B185" s="8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row>
    <row r="186" customFormat="false" ht="15.75" hidden="false" customHeight="false" outlineLevel="0" collapsed="false">
      <c r="A186" s="16"/>
      <c r="B186" s="8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row>
    <row r="187" customFormat="false" ht="15.75" hidden="false" customHeight="false" outlineLevel="0" collapsed="false">
      <c r="A187" s="16"/>
      <c r="B187" s="8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row>
    <row r="188" customFormat="false" ht="15.75" hidden="false" customHeight="false" outlineLevel="0" collapsed="false">
      <c r="A188" s="16"/>
      <c r="B188" s="8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row>
    <row r="189" customFormat="false" ht="15.75" hidden="false" customHeight="false" outlineLevel="0" collapsed="false">
      <c r="A189" s="16"/>
      <c r="B189" s="8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row>
    <row r="190" customFormat="false" ht="15.75" hidden="false" customHeight="false" outlineLevel="0" collapsed="false">
      <c r="A190" s="16"/>
      <c r="B190" s="8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row>
    <row r="191" customFormat="false" ht="15.75" hidden="false" customHeight="false" outlineLevel="0" collapsed="false">
      <c r="A191" s="16"/>
      <c r="B191" s="8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row>
    <row r="192" customFormat="false" ht="15.75" hidden="false" customHeight="false" outlineLevel="0" collapsed="false">
      <c r="A192" s="16"/>
      <c r="B192" s="8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row>
    <row r="193" customFormat="false" ht="15.75" hidden="false" customHeight="false" outlineLevel="0" collapsed="false">
      <c r="A193" s="16"/>
      <c r="B193" s="8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row>
    <row r="194" customFormat="false" ht="15.75" hidden="false" customHeight="false" outlineLevel="0" collapsed="false">
      <c r="A194" s="16"/>
      <c r="B194" s="8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row>
    <row r="195" customFormat="false" ht="15.75" hidden="false" customHeight="false" outlineLevel="0" collapsed="false">
      <c r="A195" s="16"/>
      <c r="B195" s="8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row>
    <row r="196" customFormat="false" ht="15.75" hidden="false" customHeight="false" outlineLevel="0" collapsed="false">
      <c r="A196" s="16"/>
      <c r="B196" s="8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row>
    <row r="197" customFormat="false" ht="15.75" hidden="false" customHeight="false" outlineLevel="0" collapsed="false">
      <c r="A197" s="16"/>
      <c r="B197" s="8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row>
    <row r="198" customFormat="false" ht="15.75" hidden="false" customHeight="false" outlineLevel="0" collapsed="false">
      <c r="A198" s="16"/>
      <c r="B198" s="8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row>
    <row r="199" customFormat="false" ht="15.75" hidden="false" customHeight="false" outlineLevel="0" collapsed="false">
      <c r="A199" s="16"/>
      <c r="B199" s="8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row>
    <row r="200" customFormat="false" ht="15.75" hidden="false" customHeight="false" outlineLevel="0" collapsed="false">
      <c r="A200" s="16"/>
      <c r="B200" s="8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row>
    <row r="201" customFormat="false" ht="15.75" hidden="false" customHeight="false" outlineLevel="0" collapsed="false">
      <c r="A201" s="16"/>
      <c r="B201" s="8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row>
    <row r="202" customFormat="false" ht="15.75" hidden="false" customHeight="false" outlineLevel="0" collapsed="false">
      <c r="A202" s="16"/>
      <c r="B202" s="8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row>
    <row r="203" customFormat="false" ht="15.75" hidden="false" customHeight="false" outlineLevel="0" collapsed="false">
      <c r="A203" s="16"/>
      <c r="B203" s="8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row>
    <row r="204" customFormat="false" ht="15.75" hidden="false" customHeight="false" outlineLevel="0" collapsed="false">
      <c r="A204" s="16"/>
      <c r="B204" s="8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row>
    <row r="205" customFormat="false" ht="15.75" hidden="false" customHeight="false" outlineLevel="0" collapsed="false">
      <c r="A205" s="16"/>
      <c r="B205" s="8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row>
    <row r="206" customFormat="false" ht="15.75" hidden="false" customHeight="false" outlineLevel="0" collapsed="false">
      <c r="A206" s="16"/>
      <c r="B206" s="8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row>
    <row r="207" customFormat="false" ht="15.75" hidden="false" customHeight="false" outlineLevel="0" collapsed="false">
      <c r="A207" s="16"/>
      <c r="B207" s="8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row>
    <row r="208" customFormat="false" ht="15.75" hidden="false" customHeight="false" outlineLevel="0" collapsed="false">
      <c r="A208" s="16"/>
      <c r="B208" s="8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row>
    <row r="209" customFormat="false" ht="15.75" hidden="false" customHeight="false" outlineLevel="0" collapsed="false">
      <c r="A209" s="16"/>
      <c r="B209" s="8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row>
    <row r="210" customFormat="false" ht="15.75" hidden="false" customHeight="false" outlineLevel="0" collapsed="false">
      <c r="A210" s="16"/>
      <c r="B210" s="8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row>
    <row r="211" customFormat="false" ht="15.75" hidden="false" customHeight="false" outlineLevel="0" collapsed="false">
      <c r="A211" s="16"/>
      <c r="B211" s="8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row>
    <row r="212" customFormat="false" ht="15.75" hidden="false" customHeight="false" outlineLevel="0" collapsed="false">
      <c r="A212" s="16"/>
      <c r="B212" s="8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row>
    <row r="213" customFormat="false" ht="15.75" hidden="false" customHeight="false" outlineLevel="0" collapsed="false">
      <c r="A213" s="16"/>
      <c r="B213" s="8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row>
    <row r="214" customFormat="false" ht="15.75" hidden="false" customHeight="false" outlineLevel="0" collapsed="false">
      <c r="A214" s="16"/>
      <c r="B214" s="8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row>
    <row r="215" customFormat="false" ht="15.75" hidden="false" customHeight="false" outlineLevel="0" collapsed="false">
      <c r="A215" s="16"/>
      <c r="B215" s="8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row>
    <row r="216" customFormat="false" ht="15.75" hidden="false" customHeight="false" outlineLevel="0" collapsed="false">
      <c r="A216" s="16"/>
      <c r="B216" s="8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row>
    <row r="217" customFormat="false" ht="15.75" hidden="false" customHeight="false" outlineLevel="0" collapsed="false">
      <c r="A217" s="16"/>
      <c r="B217" s="8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row>
    <row r="218" customFormat="false" ht="15.75" hidden="false" customHeight="false" outlineLevel="0" collapsed="false">
      <c r="A218" s="16"/>
      <c r="B218" s="8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row>
    <row r="219" customFormat="false" ht="15.75" hidden="false" customHeight="false" outlineLevel="0" collapsed="false">
      <c r="A219" s="16"/>
      <c r="B219" s="8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row>
    <row r="220" customFormat="false" ht="15.75" hidden="false" customHeight="false" outlineLevel="0" collapsed="false">
      <c r="A220" s="16"/>
      <c r="B220" s="8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row>
    <row r="221" customFormat="false" ht="15.75" hidden="false" customHeight="false" outlineLevel="0" collapsed="false">
      <c r="A221" s="16"/>
      <c r="B221" s="8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row>
    <row r="222" customFormat="false" ht="15.75" hidden="false" customHeight="false" outlineLevel="0" collapsed="false">
      <c r="A222" s="16"/>
      <c r="B222" s="8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row>
    <row r="223" customFormat="false" ht="15.75" hidden="false" customHeight="false" outlineLevel="0" collapsed="false">
      <c r="A223" s="16"/>
      <c r="B223" s="8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row>
    <row r="224" customFormat="false" ht="15.75" hidden="false" customHeight="false" outlineLevel="0" collapsed="false">
      <c r="A224" s="16"/>
      <c r="B224" s="8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row>
    <row r="225" customFormat="false" ht="15.75" hidden="false" customHeight="false" outlineLevel="0" collapsed="false">
      <c r="A225" s="16"/>
      <c r="B225" s="8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row>
    <row r="226" customFormat="false" ht="15.75" hidden="false" customHeight="false" outlineLevel="0" collapsed="false">
      <c r="A226" s="16"/>
      <c r="B226" s="8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row>
    <row r="227" customFormat="false" ht="15.75" hidden="false" customHeight="false" outlineLevel="0" collapsed="false">
      <c r="A227" s="16"/>
      <c r="B227" s="8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row>
    <row r="228" customFormat="false" ht="15.75" hidden="false" customHeight="false" outlineLevel="0" collapsed="false">
      <c r="A228" s="16"/>
      <c r="B228" s="8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row>
    <row r="229" customFormat="false" ht="15.75" hidden="false" customHeight="false" outlineLevel="0" collapsed="false">
      <c r="A229" s="16"/>
      <c r="B229" s="8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row>
    <row r="230" customFormat="false" ht="15.75" hidden="false" customHeight="false" outlineLevel="0" collapsed="false">
      <c r="A230" s="16"/>
      <c r="B230" s="8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row>
    <row r="231" customFormat="false" ht="15.75" hidden="false" customHeight="false" outlineLevel="0" collapsed="false">
      <c r="A231" s="16"/>
      <c r="B231" s="8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row>
    <row r="232" customFormat="false" ht="15.75" hidden="false" customHeight="false" outlineLevel="0" collapsed="false">
      <c r="A232" s="16"/>
      <c r="B232" s="8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row>
    <row r="233" customFormat="false" ht="15.75" hidden="false" customHeight="false" outlineLevel="0" collapsed="false">
      <c r="A233" s="16"/>
      <c r="B233" s="8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row>
    <row r="234" customFormat="false" ht="15.75" hidden="false" customHeight="false" outlineLevel="0" collapsed="false">
      <c r="A234" s="16"/>
      <c r="B234" s="8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row>
    <row r="235" customFormat="false" ht="15.75" hidden="false" customHeight="false" outlineLevel="0" collapsed="false">
      <c r="A235" s="16"/>
      <c r="B235" s="8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row>
    <row r="236" customFormat="false" ht="15.75" hidden="false" customHeight="false" outlineLevel="0" collapsed="false">
      <c r="A236" s="16"/>
      <c r="B236" s="8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row>
    <row r="237" customFormat="false" ht="15.75" hidden="false" customHeight="false" outlineLevel="0" collapsed="false">
      <c r="A237" s="16"/>
      <c r="B237" s="8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row>
    <row r="238" customFormat="false" ht="15.75" hidden="false" customHeight="false" outlineLevel="0" collapsed="false">
      <c r="A238" s="16"/>
      <c r="B238" s="8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row>
    <row r="239" customFormat="false" ht="15.75" hidden="false" customHeight="false" outlineLevel="0" collapsed="false">
      <c r="A239" s="16"/>
      <c r="B239" s="8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row>
    <row r="240" customFormat="false" ht="15.75" hidden="false" customHeight="false" outlineLevel="0" collapsed="false">
      <c r="A240" s="16"/>
      <c r="B240" s="8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row>
    <row r="241" customFormat="false" ht="15.75" hidden="false" customHeight="false" outlineLevel="0" collapsed="false">
      <c r="A241" s="16"/>
      <c r="B241" s="8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row>
    <row r="242" customFormat="false" ht="15.75" hidden="false" customHeight="false" outlineLevel="0" collapsed="false">
      <c r="A242" s="16"/>
      <c r="B242" s="8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row>
    <row r="243" customFormat="false" ht="15.75" hidden="false" customHeight="false" outlineLevel="0" collapsed="false">
      <c r="A243" s="16"/>
      <c r="B243" s="8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row>
    <row r="244" customFormat="false" ht="15.75" hidden="false" customHeight="false" outlineLevel="0" collapsed="false">
      <c r="A244" s="16"/>
      <c r="B244" s="8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row>
    <row r="245" customFormat="false" ht="15.75" hidden="false" customHeight="false" outlineLevel="0" collapsed="false">
      <c r="A245" s="16"/>
      <c r="B245" s="8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row>
    <row r="246" customFormat="false" ht="15.75" hidden="false" customHeight="false" outlineLevel="0" collapsed="false">
      <c r="A246" s="16"/>
      <c r="B246" s="8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row>
    <row r="247" customFormat="false" ht="15.75" hidden="false" customHeight="false" outlineLevel="0" collapsed="false">
      <c r="A247" s="16"/>
      <c r="B247" s="8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row>
    <row r="248" customFormat="false" ht="15.75" hidden="false" customHeight="false" outlineLevel="0" collapsed="false">
      <c r="A248" s="16"/>
      <c r="B248" s="8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row>
    <row r="249" customFormat="false" ht="15.75" hidden="false" customHeight="false" outlineLevel="0" collapsed="false">
      <c r="A249" s="16"/>
      <c r="B249" s="8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row>
    <row r="250" customFormat="false" ht="15.75" hidden="false" customHeight="false" outlineLevel="0" collapsed="false">
      <c r="A250" s="16"/>
      <c r="B250" s="8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row>
    <row r="251" customFormat="false" ht="15.75" hidden="false" customHeight="false" outlineLevel="0" collapsed="false">
      <c r="A251" s="16"/>
      <c r="B251" s="8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row>
    <row r="252" customFormat="false" ht="15.75" hidden="false" customHeight="false" outlineLevel="0" collapsed="false">
      <c r="A252" s="16"/>
      <c r="B252" s="8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row>
    <row r="253" customFormat="false" ht="15.75" hidden="false" customHeight="false" outlineLevel="0" collapsed="false">
      <c r="A253" s="16"/>
      <c r="B253" s="8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row>
    <row r="254" customFormat="false" ht="15.75" hidden="false" customHeight="false" outlineLevel="0" collapsed="false">
      <c r="A254" s="16"/>
      <c r="B254" s="8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row>
    <row r="255" customFormat="false" ht="15.75" hidden="false" customHeight="false" outlineLevel="0" collapsed="false">
      <c r="A255" s="16"/>
      <c r="B255" s="8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row>
    <row r="256" customFormat="false" ht="15.75" hidden="false" customHeight="false" outlineLevel="0" collapsed="false">
      <c r="A256" s="16"/>
      <c r="B256" s="8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row>
    <row r="257" customFormat="false" ht="15.75" hidden="false" customHeight="false" outlineLevel="0" collapsed="false">
      <c r="A257" s="16"/>
      <c r="B257" s="8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row>
    <row r="258" customFormat="false" ht="15.75" hidden="false" customHeight="false" outlineLevel="0" collapsed="false">
      <c r="A258" s="16"/>
      <c r="B258" s="8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row>
    <row r="259" customFormat="false" ht="15.75" hidden="false" customHeight="false" outlineLevel="0" collapsed="false">
      <c r="A259" s="16"/>
      <c r="B259" s="8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row>
    <row r="260" customFormat="false" ht="15.75" hidden="false" customHeight="false" outlineLevel="0" collapsed="false">
      <c r="A260" s="16"/>
      <c r="B260" s="8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row>
    <row r="261" customFormat="false" ht="15.75" hidden="false" customHeight="false" outlineLevel="0" collapsed="false">
      <c r="A261" s="16"/>
      <c r="B261" s="8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row>
    <row r="262" customFormat="false" ht="15.75" hidden="false" customHeight="false" outlineLevel="0" collapsed="false">
      <c r="A262" s="16"/>
      <c r="B262" s="8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row>
    <row r="263" customFormat="false" ht="15.75" hidden="false" customHeight="false" outlineLevel="0" collapsed="false">
      <c r="A263" s="16"/>
      <c r="B263" s="8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row>
    <row r="264" customFormat="false" ht="15.75" hidden="false" customHeight="false" outlineLevel="0" collapsed="false">
      <c r="A264" s="16"/>
      <c r="B264" s="8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row>
    <row r="265" customFormat="false" ht="15.75" hidden="false" customHeight="false" outlineLevel="0" collapsed="false">
      <c r="A265" s="16"/>
      <c r="B265" s="8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row>
    <row r="266" customFormat="false" ht="15.75" hidden="false" customHeight="false" outlineLevel="0" collapsed="false">
      <c r="A266" s="16"/>
      <c r="B266" s="8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row>
    <row r="267" customFormat="false" ht="15.75" hidden="false" customHeight="false" outlineLevel="0" collapsed="false">
      <c r="A267" s="16"/>
      <c r="B267" s="8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row>
    <row r="268" customFormat="false" ht="15.75" hidden="false" customHeight="false" outlineLevel="0" collapsed="false">
      <c r="A268" s="16"/>
      <c r="B268" s="8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row>
    <row r="269" customFormat="false" ht="15.75" hidden="false" customHeight="false" outlineLevel="0" collapsed="false">
      <c r="A269" s="16"/>
      <c r="B269" s="8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row>
    <row r="270" customFormat="false" ht="15.75" hidden="false" customHeight="false" outlineLevel="0" collapsed="false">
      <c r="A270" s="16"/>
      <c r="B270" s="8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row>
    <row r="271" customFormat="false" ht="15.75" hidden="false" customHeight="false" outlineLevel="0" collapsed="false">
      <c r="A271" s="16"/>
      <c r="B271" s="8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row>
    <row r="272" customFormat="false" ht="15.75" hidden="false" customHeight="false" outlineLevel="0" collapsed="false">
      <c r="A272" s="16"/>
      <c r="B272" s="8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row>
    <row r="273" customFormat="false" ht="15.75" hidden="false" customHeight="false" outlineLevel="0" collapsed="false">
      <c r="A273" s="16"/>
      <c r="B273" s="8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row>
    <row r="274" customFormat="false" ht="15.75" hidden="false" customHeight="false" outlineLevel="0" collapsed="false">
      <c r="A274" s="16"/>
      <c r="B274" s="8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row>
    <row r="275" customFormat="false" ht="15.75" hidden="false" customHeight="false" outlineLevel="0" collapsed="false">
      <c r="A275" s="16"/>
      <c r="B275" s="8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row>
    <row r="276" customFormat="false" ht="15.75" hidden="false" customHeight="false" outlineLevel="0" collapsed="false">
      <c r="A276" s="16"/>
      <c r="B276" s="8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row>
    <row r="277" customFormat="false" ht="15.75" hidden="false" customHeight="false" outlineLevel="0" collapsed="false">
      <c r="A277" s="16"/>
      <c r="B277" s="8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row>
    <row r="278" customFormat="false" ht="15.75" hidden="false" customHeight="false" outlineLevel="0" collapsed="false">
      <c r="A278" s="16"/>
      <c r="B278" s="8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row>
    <row r="279" customFormat="false" ht="15.75" hidden="false" customHeight="false" outlineLevel="0" collapsed="false">
      <c r="A279" s="16"/>
      <c r="B279" s="8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row>
    <row r="280" customFormat="false" ht="15.75" hidden="false" customHeight="false" outlineLevel="0" collapsed="false">
      <c r="A280" s="16"/>
      <c r="B280" s="8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row>
    <row r="281" customFormat="false" ht="15.75" hidden="false" customHeight="false" outlineLevel="0" collapsed="false">
      <c r="A281" s="16"/>
      <c r="B281" s="8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row>
    <row r="282" customFormat="false" ht="15.75" hidden="false" customHeight="false" outlineLevel="0" collapsed="false">
      <c r="A282" s="16"/>
      <c r="B282" s="8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row>
    <row r="283" customFormat="false" ht="15.75" hidden="false" customHeight="false" outlineLevel="0" collapsed="false">
      <c r="A283" s="16"/>
      <c r="B283" s="8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row>
    <row r="284" customFormat="false" ht="15.75" hidden="false" customHeight="false" outlineLevel="0" collapsed="false">
      <c r="A284" s="16"/>
      <c r="B284" s="8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row>
    <row r="285" customFormat="false" ht="15.75" hidden="false" customHeight="false" outlineLevel="0" collapsed="false">
      <c r="A285" s="16"/>
      <c r="B285" s="8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row>
    <row r="286" customFormat="false" ht="15.75" hidden="false" customHeight="false" outlineLevel="0" collapsed="false">
      <c r="A286" s="16"/>
      <c r="B286" s="8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row>
    <row r="287" customFormat="false" ht="15.75" hidden="false" customHeight="false" outlineLevel="0" collapsed="false">
      <c r="A287" s="16"/>
      <c r="B287" s="8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row>
    <row r="288" customFormat="false" ht="15.75" hidden="false" customHeight="false" outlineLevel="0" collapsed="false">
      <c r="A288" s="16"/>
      <c r="B288" s="8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row>
    <row r="289" customFormat="false" ht="15.75" hidden="false" customHeight="false" outlineLevel="0" collapsed="false">
      <c r="A289" s="16"/>
      <c r="B289" s="8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row>
    <row r="290" customFormat="false" ht="15.75" hidden="false" customHeight="false" outlineLevel="0" collapsed="false">
      <c r="A290" s="16"/>
      <c r="B290" s="8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row>
    <row r="291" customFormat="false" ht="15.75" hidden="false" customHeight="false" outlineLevel="0" collapsed="false">
      <c r="A291" s="16"/>
      <c r="B291" s="8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row>
    <row r="292" customFormat="false" ht="15.75" hidden="false" customHeight="false" outlineLevel="0" collapsed="false">
      <c r="A292" s="16"/>
      <c r="B292" s="8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row>
    <row r="293" customFormat="false" ht="15.75" hidden="false" customHeight="false" outlineLevel="0" collapsed="false">
      <c r="A293" s="16"/>
      <c r="B293" s="8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row>
    <row r="294" customFormat="false" ht="15.75" hidden="false" customHeight="false" outlineLevel="0" collapsed="false">
      <c r="A294" s="16"/>
      <c r="B294" s="8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row>
    <row r="295" customFormat="false" ht="15.75" hidden="false" customHeight="false" outlineLevel="0" collapsed="false">
      <c r="A295" s="16"/>
      <c r="B295" s="8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row>
    <row r="296" customFormat="false" ht="15.75" hidden="false" customHeight="false" outlineLevel="0" collapsed="false">
      <c r="A296" s="16"/>
      <c r="B296" s="8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row>
    <row r="297" customFormat="false" ht="15.75" hidden="false" customHeight="false" outlineLevel="0" collapsed="false">
      <c r="A297" s="16"/>
      <c r="B297" s="8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row>
    <row r="298" customFormat="false" ht="15.75" hidden="false" customHeight="false" outlineLevel="0" collapsed="false">
      <c r="A298" s="16"/>
      <c r="B298" s="8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row>
    <row r="299" customFormat="false" ht="15.75" hidden="false" customHeight="false" outlineLevel="0" collapsed="false">
      <c r="A299" s="16"/>
      <c r="B299" s="8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row>
    <row r="300" customFormat="false" ht="15.75" hidden="false" customHeight="false" outlineLevel="0" collapsed="false">
      <c r="A300" s="16"/>
      <c r="B300" s="8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row>
    <row r="301" customFormat="false" ht="15.75" hidden="false" customHeight="false" outlineLevel="0" collapsed="false">
      <c r="A301" s="16"/>
      <c r="B301" s="8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row>
    <row r="302" customFormat="false" ht="15.75" hidden="false" customHeight="false" outlineLevel="0" collapsed="false">
      <c r="A302" s="16"/>
      <c r="B302" s="8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row>
    <row r="303" customFormat="false" ht="15.75" hidden="false" customHeight="false" outlineLevel="0" collapsed="false">
      <c r="A303" s="16"/>
      <c r="B303" s="8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row>
    <row r="304" customFormat="false" ht="15.75" hidden="false" customHeight="false" outlineLevel="0" collapsed="false">
      <c r="A304" s="16"/>
      <c r="B304" s="8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row>
    <row r="305" customFormat="false" ht="15.75" hidden="false" customHeight="false" outlineLevel="0" collapsed="false">
      <c r="A305" s="16"/>
      <c r="B305" s="8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row>
    <row r="306" customFormat="false" ht="15.75" hidden="false" customHeight="false" outlineLevel="0" collapsed="false">
      <c r="A306" s="16"/>
      <c r="B306" s="8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row>
    <row r="307" customFormat="false" ht="15.75" hidden="false" customHeight="false" outlineLevel="0" collapsed="false">
      <c r="A307" s="16"/>
      <c r="B307" s="8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row>
    <row r="308" customFormat="false" ht="15.75" hidden="false" customHeight="false" outlineLevel="0" collapsed="false">
      <c r="A308" s="16"/>
      <c r="B308" s="8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row>
    <row r="309" customFormat="false" ht="15.75" hidden="false" customHeight="false" outlineLevel="0" collapsed="false">
      <c r="A309" s="16"/>
      <c r="B309" s="8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row>
    <row r="310" customFormat="false" ht="15.75" hidden="false" customHeight="false" outlineLevel="0" collapsed="false">
      <c r="A310" s="16"/>
      <c r="B310" s="8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row>
    <row r="311" customFormat="false" ht="15.75" hidden="false" customHeight="false" outlineLevel="0" collapsed="false">
      <c r="A311" s="16"/>
      <c r="B311" s="8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row>
    <row r="312" customFormat="false" ht="15.75" hidden="false" customHeight="false" outlineLevel="0" collapsed="false">
      <c r="A312" s="16"/>
      <c r="B312" s="8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row>
    <row r="313" customFormat="false" ht="15.75" hidden="false" customHeight="false" outlineLevel="0" collapsed="false">
      <c r="A313" s="16"/>
      <c r="B313" s="8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row>
    <row r="314" customFormat="false" ht="15.75" hidden="false" customHeight="false" outlineLevel="0" collapsed="false">
      <c r="A314" s="16"/>
      <c r="B314" s="8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row>
    <row r="315" customFormat="false" ht="15.75" hidden="false" customHeight="false" outlineLevel="0" collapsed="false">
      <c r="A315" s="16"/>
      <c r="B315" s="8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row>
    <row r="316" customFormat="false" ht="15.75" hidden="false" customHeight="false" outlineLevel="0" collapsed="false">
      <c r="A316" s="16"/>
      <c r="B316" s="8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row>
    <row r="317" customFormat="false" ht="15.75" hidden="false" customHeight="false" outlineLevel="0" collapsed="false">
      <c r="A317" s="16"/>
      <c r="B317" s="8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row>
    <row r="318" customFormat="false" ht="15.75" hidden="false" customHeight="false" outlineLevel="0" collapsed="false">
      <c r="A318" s="16"/>
      <c r="B318" s="8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row>
    <row r="319" customFormat="false" ht="15.75" hidden="false" customHeight="false" outlineLevel="0" collapsed="false">
      <c r="A319" s="16"/>
      <c r="B319" s="8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row>
    <row r="320" customFormat="false" ht="15.75" hidden="false" customHeight="false" outlineLevel="0" collapsed="false">
      <c r="A320" s="16"/>
      <c r="B320" s="8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row>
    <row r="321" customFormat="false" ht="15.75" hidden="false" customHeight="false" outlineLevel="0" collapsed="false">
      <c r="A321" s="16"/>
      <c r="B321" s="8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row>
    <row r="322" customFormat="false" ht="15.75" hidden="false" customHeight="false" outlineLevel="0" collapsed="false">
      <c r="A322" s="16"/>
      <c r="B322" s="8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row>
    <row r="323" customFormat="false" ht="15.75" hidden="false" customHeight="false" outlineLevel="0" collapsed="false">
      <c r="A323" s="16"/>
      <c r="B323" s="8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row>
    <row r="324" customFormat="false" ht="15.75" hidden="false" customHeight="false" outlineLevel="0" collapsed="false">
      <c r="A324" s="16"/>
      <c r="B324" s="8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row>
    <row r="325" customFormat="false" ht="15.75" hidden="false" customHeight="false" outlineLevel="0" collapsed="false">
      <c r="A325" s="16"/>
      <c r="B325" s="8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row>
    <row r="326" customFormat="false" ht="15.75" hidden="false" customHeight="false" outlineLevel="0" collapsed="false">
      <c r="A326" s="16"/>
      <c r="B326" s="8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row>
    <row r="327" customFormat="false" ht="15.75" hidden="false" customHeight="false" outlineLevel="0" collapsed="false">
      <c r="A327" s="16"/>
      <c r="B327" s="8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row>
    <row r="328" customFormat="false" ht="15.75" hidden="false" customHeight="false" outlineLevel="0" collapsed="false">
      <c r="A328" s="16"/>
      <c r="B328" s="8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row>
    <row r="329" customFormat="false" ht="15.75" hidden="false" customHeight="false" outlineLevel="0" collapsed="false">
      <c r="A329" s="16"/>
      <c r="B329" s="8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row>
    <row r="330" customFormat="false" ht="15.75" hidden="false" customHeight="false" outlineLevel="0" collapsed="false">
      <c r="A330" s="16"/>
      <c r="B330" s="8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75" hidden="false" customHeight="false" outlineLevel="0" collapsed="false">
      <c r="A331" s="16"/>
      <c r="B331" s="8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row>
    <row r="332" customFormat="false" ht="15.75" hidden="false" customHeight="false" outlineLevel="0" collapsed="false">
      <c r="A332" s="16"/>
      <c r="B332" s="8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row>
    <row r="333" customFormat="false" ht="15.75" hidden="false" customHeight="false" outlineLevel="0" collapsed="false">
      <c r="A333" s="16"/>
      <c r="B333" s="8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row>
    <row r="334" customFormat="false" ht="15.75" hidden="false" customHeight="false" outlineLevel="0" collapsed="false">
      <c r="A334" s="16"/>
      <c r="B334" s="8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row>
    <row r="335" customFormat="false" ht="15.75" hidden="false" customHeight="false" outlineLevel="0" collapsed="false">
      <c r="A335" s="16"/>
      <c r="B335" s="8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row>
    <row r="336" customFormat="false" ht="15.75" hidden="false" customHeight="false" outlineLevel="0" collapsed="false">
      <c r="A336" s="16"/>
      <c r="B336" s="8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row>
    <row r="337" customFormat="false" ht="15.75" hidden="false" customHeight="false" outlineLevel="0" collapsed="false">
      <c r="A337" s="16"/>
      <c r="B337" s="8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row>
    <row r="338" customFormat="false" ht="15.75" hidden="false" customHeight="false" outlineLevel="0" collapsed="false">
      <c r="A338" s="16"/>
      <c r="B338" s="8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row>
    <row r="339" customFormat="false" ht="15.75" hidden="false" customHeight="false" outlineLevel="0" collapsed="false">
      <c r="A339" s="16"/>
      <c r="B339" s="8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row>
    <row r="340" customFormat="false" ht="15.75" hidden="false" customHeight="false" outlineLevel="0" collapsed="false">
      <c r="A340" s="16"/>
      <c r="B340" s="8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row>
    <row r="341" customFormat="false" ht="15.75" hidden="false" customHeight="false" outlineLevel="0" collapsed="false">
      <c r="A341" s="16"/>
      <c r="B341" s="8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row>
    <row r="342" customFormat="false" ht="15.75" hidden="false" customHeight="false" outlineLevel="0" collapsed="false">
      <c r="A342" s="16"/>
      <c r="B342" s="8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row>
    <row r="343" customFormat="false" ht="15.75" hidden="false" customHeight="false" outlineLevel="0" collapsed="false">
      <c r="A343" s="16"/>
      <c r="B343" s="8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row>
    <row r="344" customFormat="false" ht="15.75" hidden="false" customHeight="false" outlineLevel="0" collapsed="false">
      <c r="A344" s="16"/>
      <c r="B344" s="8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row>
    <row r="345" customFormat="false" ht="15.75" hidden="false" customHeight="false" outlineLevel="0" collapsed="false">
      <c r="A345" s="16"/>
      <c r="B345" s="8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row>
    <row r="346" customFormat="false" ht="15.75" hidden="false" customHeight="false" outlineLevel="0" collapsed="false">
      <c r="A346" s="16"/>
      <c r="B346" s="8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row>
    <row r="347" customFormat="false" ht="15.75" hidden="false" customHeight="false" outlineLevel="0" collapsed="false">
      <c r="A347" s="16"/>
      <c r="B347" s="8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row>
    <row r="348" customFormat="false" ht="15.75" hidden="false" customHeight="false" outlineLevel="0" collapsed="false">
      <c r="A348" s="16"/>
      <c r="B348" s="8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row>
    <row r="349" customFormat="false" ht="15.75" hidden="false" customHeight="false" outlineLevel="0" collapsed="false">
      <c r="A349" s="16"/>
      <c r="B349" s="8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row>
    <row r="350" customFormat="false" ht="15.75" hidden="false" customHeight="false" outlineLevel="0" collapsed="false">
      <c r="A350" s="16"/>
      <c r="B350" s="8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row>
    <row r="351" customFormat="false" ht="15.75" hidden="false" customHeight="false" outlineLevel="0" collapsed="false">
      <c r="A351" s="16"/>
      <c r="B351" s="8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row>
    <row r="352" customFormat="false" ht="15.75" hidden="false" customHeight="false" outlineLevel="0" collapsed="false">
      <c r="A352" s="16"/>
      <c r="B352" s="8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row>
    <row r="353" customFormat="false" ht="15.75" hidden="false" customHeight="false" outlineLevel="0" collapsed="false">
      <c r="A353" s="16"/>
      <c r="B353" s="8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row>
    <row r="354" customFormat="false" ht="15.75" hidden="false" customHeight="false" outlineLevel="0" collapsed="false">
      <c r="A354" s="16"/>
      <c r="B354" s="8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row>
    <row r="355" customFormat="false" ht="15.75" hidden="false" customHeight="false" outlineLevel="0" collapsed="false">
      <c r="A355" s="16"/>
      <c r="B355" s="8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row>
    <row r="356" customFormat="false" ht="15.75" hidden="false" customHeight="false" outlineLevel="0" collapsed="false">
      <c r="A356" s="16"/>
      <c r="B356" s="8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row>
    <row r="357" customFormat="false" ht="15.75" hidden="false" customHeight="false" outlineLevel="0" collapsed="false">
      <c r="A357" s="16"/>
      <c r="B357" s="8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row>
    <row r="358" customFormat="false" ht="15.75" hidden="false" customHeight="false" outlineLevel="0" collapsed="false">
      <c r="A358" s="16"/>
      <c r="B358" s="8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row>
    <row r="359" customFormat="false" ht="15.75" hidden="false" customHeight="false" outlineLevel="0" collapsed="false">
      <c r="A359" s="16"/>
      <c r="B359" s="8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row>
    <row r="360" customFormat="false" ht="15.75" hidden="false" customHeight="false" outlineLevel="0" collapsed="false">
      <c r="A360" s="16"/>
      <c r="B360" s="8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row>
    <row r="361" customFormat="false" ht="15.75" hidden="false" customHeight="false" outlineLevel="0" collapsed="false">
      <c r="A361" s="16"/>
      <c r="B361" s="8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row>
    <row r="362" customFormat="false" ht="15.75" hidden="false" customHeight="false" outlineLevel="0" collapsed="false">
      <c r="A362" s="16"/>
      <c r="B362" s="8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row>
    <row r="363" customFormat="false" ht="15.75" hidden="false" customHeight="false" outlineLevel="0" collapsed="false">
      <c r="A363" s="16"/>
      <c r="B363" s="8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row>
    <row r="364" customFormat="false" ht="15.75" hidden="false" customHeight="false" outlineLevel="0" collapsed="false">
      <c r="A364" s="16"/>
      <c r="B364" s="8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row>
    <row r="365" customFormat="false" ht="15.75" hidden="false" customHeight="false" outlineLevel="0" collapsed="false">
      <c r="A365" s="16"/>
      <c r="B365" s="8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row>
    <row r="366" customFormat="false" ht="15.75" hidden="false" customHeight="false" outlineLevel="0" collapsed="false">
      <c r="A366" s="16"/>
      <c r="B366" s="8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row>
    <row r="367" customFormat="false" ht="15.75" hidden="false" customHeight="false" outlineLevel="0" collapsed="false">
      <c r="A367" s="16"/>
      <c r="B367" s="8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row>
    <row r="368" customFormat="false" ht="15.75" hidden="false" customHeight="false" outlineLevel="0" collapsed="false">
      <c r="A368" s="16"/>
      <c r="B368" s="8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row>
    <row r="369" customFormat="false" ht="15.75" hidden="false" customHeight="false" outlineLevel="0" collapsed="false">
      <c r="A369" s="16"/>
      <c r="B369" s="8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row>
    <row r="370" customFormat="false" ht="15.75" hidden="false" customHeight="false" outlineLevel="0" collapsed="false">
      <c r="A370" s="16"/>
      <c r="B370" s="8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row>
    <row r="371" customFormat="false" ht="15.75" hidden="false" customHeight="false" outlineLevel="0" collapsed="false">
      <c r="A371" s="16"/>
      <c r="B371" s="8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row>
    <row r="372" customFormat="false" ht="15.75" hidden="false" customHeight="false" outlineLevel="0" collapsed="false">
      <c r="A372" s="16"/>
      <c r="B372" s="8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row>
    <row r="373" customFormat="false" ht="15.75" hidden="false" customHeight="false" outlineLevel="0" collapsed="false">
      <c r="A373" s="16"/>
      <c r="B373" s="8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row>
    <row r="374" customFormat="false" ht="15.75" hidden="false" customHeight="false" outlineLevel="0" collapsed="false">
      <c r="A374" s="16"/>
      <c r="B374" s="8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row>
    <row r="375" customFormat="false" ht="15.75" hidden="false" customHeight="false" outlineLevel="0" collapsed="false">
      <c r="A375" s="16"/>
      <c r="B375" s="8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row>
    <row r="376" customFormat="false" ht="15.75" hidden="false" customHeight="false" outlineLevel="0" collapsed="false">
      <c r="A376" s="16"/>
      <c r="B376" s="8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row>
    <row r="377" customFormat="false" ht="15.75" hidden="false" customHeight="false" outlineLevel="0" collapsed="false">
      <c r="A377" s="16"/>
      <c r="B377" s="8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row>
    <row r="378" customFormat="false" ht="15.75" hidden="false" customHeight="false" outlineLevel="0" collapsed="false">
      <c r="A378" s="16"/>
      <c r="B378" s="8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row>
    <row r="379" customFormat="false" ht="15.75" hidden="false" customHeight="false" outlineLevel="0" collapsed="false">
      <c r="A379" s="16"/>
      <c r="B379" s="8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row>
    <row r="380" customFormat="false" ht="15.75" hidden="false" customHeight="false" outlineLevel="0" collapsed="false">
      <c r="A380" s="16"/>
      <c r="B380" s="8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row>
    <row r="381" customFormat="false" ht="15.75" hidden="false" customHeight="false" outlineLevel="0" collapsed="false">
      <c r="A381" s="16"/>
      <c r="B381" s="8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row>
    <row r="382" customFormat="false" ht="15.75" hidden="false" customHeight="false" outlineLevel="0" collapsed="false">
      <c r="A382" s="16"/>
      <c r="B382" s="8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row>
    <row r="383" customFormat="false" ht="15.75" hidden="false" customHeight="false" outlineLevel="0" collapsed="false">
      <c r="A383" s="16"/>
      <c r="B383" s="8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row>
    <row r="384" customFormat="false" ht="15.75" hidden="false" customHeight="false" outlineLevel="0" collapsed="false">
      <c r="A384" s="16"/>
      <c r="B384" s="8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row>
    <row r="385" customFormat="false" ht="15.75" hidden="false" customHeight="false" outlineLevel="0" collapsed="false">
      <c r="A385" s="16"/>
      <c r="B385" s="8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row>
    <row r="386" customFormat="false" ht="15.75" hidden="false" customHeight="false" outlineLevel="0" collapsed="false">
      <c r="A386" s="16"/>
      <c r="B386" s="8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row>
    <row r="387" customFormat="false" ht="15.75" hidden="false" customHeight="false" outlineLevel="0" collapsed="false">
      <c r="A387" s="16"/>
      <c r="B387" s="8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row>
    <row r="388" customFormat="false" ht="15.75" hidden="false" customHeight="false" outlineLevel="0" collapsed="false">
      <c r="A388" s="16"/>
      <c r="B388" s="8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row>
    <row r="389" customFormat="false" ht="15.75" hidden="false" customHeight="false" outlineLevel="0" collapsed="false">
      <c r="A389" s="16"/>
      <c r="B389" s="8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row>
    <row r="390" customFormat="false" ht="15.75" hidden="false" customHeight="false" outlineLevel="0" collapsed="false">
      <c r="A390" s="16"/>
      <c r="B390" s="8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row>
    <row r="391" customFormat="false" ht="15.75" hidden="false" customHeight="false" outlineLevel="0" collapsed="false">
      <c r="A391" s="16"/>
      <c r="B391" s="8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row>
    <row r="392" customFormat="false" ht="15.75" hidden="false" customHeight="false" outlineLevel="0" collapsed="false">
      <c r="A392" s="16"/>
      <c r="B392" s="8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row>
    <row r="393" customFormat="false" ht="15.75" hidden="false" customHeight="false" outlineLevel="0" collapsed="false">
      <c r="A393" s="16"/>
      <c r="B393" s="8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row>
    <row r="394" customFormat="false" ht="15.75" hidden="false" customHeight="false" outlineLevel="0" collapsed="false">
      <c r="A394" s="16"/>
      <c r="B394" s="8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row>
    <row r="395" customFormat="false" ht="15.75" hidden="false" customHeight="false" outlineLevel="0" collapsed="false">
      <c r="A395" s="16"/>
      <c r="B395" s="8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row>
    <row r="396" customFormat="false" ht="15.75" hidden="false" customHeight="false" outlineLevel="0" collapsed="false">
      <c r="A396" s="16"/>
      <c r="B396" s="8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row>
    <row r="397" customFormat="false" ht="15.75" hidden="false" customHeight="false" outlineLevel="0" collapsed="false">
      <c r="A397" s="16"/>
      <c r="B397" s="8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row>
    <row r="398" customFormat="false" ht="15.75" hidden="false" customHeight="false" outlineLevel="0" collapsed="false">
      <c r="A398" s="16"/>
      <c r="B398" s="8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row>
    <row r="399" customFormat="false" ht="15.75" hidden="false" customHeight="false" outlineLevel="0" collapsed="false">
      <c r="A399" s="16"/>
      <c r="B399" s="8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row>
    <row r="400" customFormat="false" ht="15.75" hidden="false" customHeight="false" outlineLevel="0" collapsed="false">
      <c r="A400" s="16"/>
      <c r="B400" s="8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row>
    <row r="401" customFormat="false" ht="15.75" hidden="false" customHeight="false" outlineLevel="0" collapsed="false">
      <c r="A401" s="16"/>
      <c r="B401" s="8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row>
    <row r="402" customFormat="false" ht="15.75" hidden="false" customHeight="false" outlineLevel="0" collapsed="false">
      <c r="A402" s="16"/>
      <c r="B402" s="8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row>
    <row r="403" customFormat="false" ht="15.75" hidden="false" customHeight="false" outlineLevel="0" collapsed="false">
      <c r="A403" s="16"/>
      <c r="B403" s="8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row>
    <row r="404" customFormat="false" ht="15.75" hidden="false" customHeight="false" outlineLevel="0" collapsed="false">
      <c r="A404" s="16"/>
      <c r="B404" s="8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row>
    <row r="405" customFormat="false" ht="15.75" hidden="false" customHeight="false" outlineLevel="0" collapsed="false">
      <c r="A405" s="16"/>
      <c r="B405" s="8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row>
    <row r="406" customFormat="false" ht="15.75" hidden="false" customHeight="false" outlineLevel="0" collapsed="false">
      <c r="A406" s="16"/>
      <c r="B406" s="8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row>
    <row r="407" customFormat="false" ht="15.75" hidden="false" customHeight="false" outlineLevel="0" collapsed="false">
      <c r="A407" s="16"/>
      <c r="B407" s="8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row>
    <row r="408" customFormat="false" ht="15.75" hidden="false" customHeight="false" outlineLevel="0" collapsed="false">
      <c r="A408" s="16"/>
      <c r="B408" s="8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row>
    <row r="409" customFormat="false" ht="15.75" hidden="false" customHeight="false" outlineLevel="0" collapsed="false">
      <c r="A409" s="16"/>
      <c r="B409" s="8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row>
    <row r="410" customFormat="false" ht="15.75" hidden="false" customHeight="false" outlineLevel="0" collapsed="false">
      <c r="A410" s="16"/>
      <c r="B410" s="8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row>
    <row r="411" customFormat="false" ht="15.75" hidden="false" customHeight="false" outlineLevel="0" collapsed="false">
      <c r="A411" s="16"/>
      <c r="B411" s="8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row>
    <row r="412" customFormat="false" ht="15.75" hidden="false" customHeight="false" outlineLevel="0" collapsed="false">
      <c r="A412" s="16"/>
      <c r="B412" s="8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row>
    <row r="413" customFormat="false" ht="15.75" hidden="false" customHeight="false" outlineLevel="0" collapsed="false">
      <c r="A413" s="16"/>
      <c r="B413" s="8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row>
    <row r="414" customFormat="false" ht="15.75" hidden="false" customHeight="false" outlineLevel="0" collapsed="false">
      <c r="A414" s="16"/>
      <c r="B414" s="8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row>
    <row r="415" customFormat="false" ht="15.75" hidden="false" customHeight="false" outlineLevel="0" collapsed="false">
      <c r="A415" s="16"/>
      <c r="B415" s="8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row>
    <row r="416" customFormat="false" ht="15.75" hidden="false" customHeight="false" outlineLevel="0" collapsed="false">
      <c r="A416" s="16"/>
      <c r="B416" s="8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row>
    <row r="417" customFormat="false" ht="15.75" hidden="false" customHeight="false" outlineLevel="0" collapsed="false">
      <c r="A417" s="16"/>
      <c r="B417" s="8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row>
    <row r="418" customFormat="false" ht="15.75" hidden="false" customHeight="false" outlineLevel="0" collapsed="false">
      <c r="A418" s="16"/>
      <c r="B418" s="8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row>
    <row r="419" customFormat="false" ht="15.75" hidden="false" customHeight="false" outlineLevel="0" collapsed="false">
      <c r="A419" s="16"/>
      <c r="B419" s="8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row>
    <row r="420" customFormat="false" ht="15.75" hidden="false" customHeight="false" outlineLevel="0" collapsed="false">
      <c r="A420" s="16"/>
      <c r="B420" s="8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row>
    <row r="421" customFormat="false" ht="15.75" hidden="false" customHeight="false" outlineLevel="0" collapsed="false">
      <c r="A421" s="16"/>
      <c r="B421" s="8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row>
    <row r="422" customFormat="false" ht="15.75" hidden="false" customHeight="false" outlineLevel="0" collapsed="false">
      <c r="A422" s="16"/>
      <c r="B422" s="8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row>
    <row r="423" customFormat="false" ht="15.75" hidden="false" customHeight="false" outlineLevel="0" collapsed="false">
      <c r="A423" s="16"/>
      <c r="B423" s="8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row>
    <row r="424" customFormat="false" ht="15.75" hidden="false" customHeight="false" outlineLevel="0" collapsed="false">
      <c r="A424" s="16"/>
      <c r="B424" s="8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row>
    <row r="425" customFormat="false" ht="15.75" hidden="false" customHeight="false" outlineLevel="0" collapsed="false">
      <c r="A425" s="16"/>
      <c r="B425" s="8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row>
    <row r="426" customFormat="false" ht="15.75" hidden="false" customHeight="false" outlineLevel="0" collapsed="false">
      <c r="A426" s="16"/>
      <c r="B426" s="8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row>
    <row r="427" customFormat="false" ht="15.75" hidden="false" customHeight="false" outlineLevel="0" collapsed="false">
      <c r="A427" s="16"/>
      <c r="B427" s="8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row>
    <row r="428" customFormat="false" ht="15.75" hidden="false" customHeight="false" outlineLevel="0" collapsed="false">
      <c r="A428" s="16"/>
      <c r="B428" s="8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row>
    <row r="429" customFormat="false" ht="15.75" hidden="false" customHeight="false" outlineLevel="0" collapsed="false">
      <c r="A429" s="16"/>
      <c r="B429" s="8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row>
    <row r="430" customFormat="false" ht="15.75" hidden="false" customHeight="false" outlineLevel="0" collapsed="false">
      <c r="A430" s="16"/>
      <c r="B430" s="8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row>
    <row r="431" customFormat="false" ht="15.75" hidden="false" customHeight="false" outlineLevel="0" collapsed="false">
      <c r="A431" s="16"/>
      <c r="B431" s="8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row>
    <row r="432" customFormat="false" ht="15.75" hidden="false" customHeight="false" outlineLevel="0" collapsed="false">
      <c r="A432" s="16"/>
      <c r="B432" s="8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row>
    <row r="433" customFormat="false" ht="15.75" hidden="false" customHeight="false" outlineLevel="0" collapsed="false">
      <c r="A433" s="16"/>
      <c r="B433" s="8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row>
    <row r="434" customFormat="false" ht="15.75" hidden="false" customHeight="false" outlineLevel="0" collapsed="false">
      <c r="A434" s="16"/>
      <c r="B434" s="8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row>
    <row r="435" customFormat="false" ht="15.75" hidden="false" customHeight="false" outlineLevel="0" collapsed="false">
      <c r="A435" s="16"/>
      <c r="B435" s="8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row>
    <row r="436" customFormat="false" ht="15.75" hidden="false" customHeight="false" outlineLevel="0" collapsed="false">
      <c r="A436" s="16"/>
      <c r="B436" s="8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row>
    <row r="437" customFormat="false" ht="15.75" hidden="false" customHeight="false" outlineLevel="0" collapsed="false">
      <c r="A437" s="16"/>
      <c r="B437" s="8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row>
    <row r="438" customFormat="false" ht="15.75" hidden="false" customHeight="false" outlineLevel="0" collapsed="false">
      <c r="A438" s="16"/>
      <c r="B438" s="8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row>
    <row r="439" customFormat="false" ht="15.75" hidden="false" customHeight="false" outlineLevel="0" collapsed="false">
      <c r="A439" s="16"/>
      <c r="B439" s="8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row>
    <row r="440" customFormat="false" ht="15.75" hidden="false" customHeight="false" outlineLevel="0" collapsed="false">
      <c r="A440" s="16"/>
      <c r="B440" s="8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row>
    <row r="441" customFormat="false" ht="15.75" hidden="false" customHeight="false" outlineLevel="0" collapsed="false">
      <c r="A441" s="16"/>
      <c r="B441" s="8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row>
    <row r="442" customFormat="false" ht="15.75" hidden="false" customHeight="false" outlineLevel="0" collapsed="false">
      <c r="A442" s="16"/>
      <c r="B442" s="8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row>
    <row r="443" customFormat="false" ht="15.75" hidden="false" customHeight="false" outlineLevel="0" collapsed="false">
      <c r="A443" s="16"/>
      <c r="B443" s="8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row>
    <row r="444" customFormat="false" ht="15.75" hidden="false" customHeight="false" outlineLevel="0" collapsed="false">
      <c r="A444" s="16"/>
      <c r="B444" s="8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row>
    <row r="445" customFormat="false" ht="15.75" hidden="false" customHeight="false" outlineLevel="0" collapsed="false">
      <c r="A445" s="16"/>
      <c r="B445" s="8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row>
    <row r="446" customFormat="false" ht="15.75" hidden="false" customHeight="false" outlineLevel="0" collapsed="false">
      <c r="A446" s="16"/>
      <c r="B446" s="8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row>
    <row r="447" customFormat="false" ht="15.75" hidden="false" customHeight="false" outlineLevel="0" collapsed="false">
      <c r="A447" s="16"/>
      <c r="B447" s="8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row>
    <row r="448" customFormat="false" ht="15.75" hidden="false" customHeight="false" outlineLevel="0" collapsed="false">
      <c r="A448" s="16"/>
      <c r="B448" s="8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row>
    <row r="449" customFormat="false" ht="15.75" hidden="false" customHeight="false" outlineLevel="0" collapsed="false">
      <c r="A449" s="16"/>
      <c r="B449" s="8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row>
    <row r="450" customFormat="false" ht="15.75" hidden="false" customHeight="false" outlineLevel="0" collapsed="false">
      <c r="A450" s="16"/>
      <c r="B450" s="8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row>
    <row r="451" customFormat="false" ht="15.75" hidden="false" customHeight="false" outlineLevel="0" collapsed="false">
      <c r="A451" s="16"/>
      <c r="B451" s="8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row>
    <row r="452" customFormat="false" ht="15.75" hidden="false" customHeight="false" outlineLevel="0" collapsed="false">
      <c r="A452" s="16"/>
      <c r="B452" s="8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row>
    <row r="453" customFormat="false" ht="15.75" hidden="false" customHeight="false" outlineLevel="0" collapsed="false">
      <c r="A453" s="16"/>
      <c r="B453" s="8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row>
    <row r="454" customFormat="false" ht="15.75" hidden="false" customHeight="false" outlineLevel="0" collapsed="false">
      <c r="A454" s="16"/>
      <c r="B454" s="8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row>
    <row r="455" customFormat="false" ht="15.75" hidden="false" customHeight="false" outlineLevel="0" collapsed="false">
      <c r="A455" s="16"/>
      <c r="B455" s="8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row>
    <row r="456" customFormat="false" ht="15.75" hidden="false" customHeight="false" outlineLevel="0" collapsed="false">
      <c r="A456" s="16"/>
      <c r="B456" s="8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row>
    <row r="457" customFormat="false" ht="15.75" hidden="false" customHeight="false" outlineLevel="0" collapsed="false">
      <c r="A457" s="16"/>
      <c r="B457" s="8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row>
    <row r="458" customFormat="false" ht="15.75" hidden="false" customHeight="false" outlineLevel="0" collapsed="false">
      <c r="A458" s="16"/>
      <c r="B458" s="8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row>
    <row r="459" customFormat="false" ht="15.75" hidden="false" customHeight="false" outlineLevel="0" collapsed="false">
      <c r="A459" s="16"/>
      <c r="B459" s="8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row>
    <row r="460" customFormat="false" ht="15.75" hidden="false" customHeight="false" outlineLevel="0" collapsed="false">
      <c r="A460" s="16"/>
      <c r="B460" s="8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row>
    <row r="461" customFormat="false" ht="15.75" hidden="false" customHeight="false" outlineLevel="0" collapsed="false">
      <c r="A461" s="16"/>
      <c r="B461" s="8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row>
    <row r="462" customFormat="false" ht="15.75" hidden="false" customHeight="false" outlineLevel="0" collapsed="false">
      <c r="A462" s="16"/>
      <c r="B462" s="8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row>
    <row r="463" customFormat="false" ht="15.75" hidden="false" customHeight="false" outlineLevel="0" collapsed="false">
      <c r="A463" s="16"/>
      <c r="B463" s="8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row>
    <row r="464" customFormat="false" ht="15.75" hidden="false" customHeight="false" outlineLevel="0" collapsed="false">
      <c r="A464" s="16"/>
      <c r="B464" s="8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row>
    <row r="465" customFormat="false" ht="15.75" hidden="false" customHeight="false" outlineLevel="0" collapsed="false">
      <c r="A465" s="16"/>
      <c r="B465" s="8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row>
    <row r="466" customFormat="false" ht="15.75" hidden="false" customHeight="false" outlineLevel="0" collapsed="false">
      <c r="A466" s="16"/>
      <c r="B466" s="8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row>
    <row r="467" customFormat="false" ht="15.75" hidden="false" customHeight="false" outlineLevel="0" collapsed="false">
      <c r="A467" s="16"/>
      <c r="B467" s="8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row>
    <row r="468" customFormat="false" ht="15.75" hidden="false" customHeight="false" outlineLevel="0" collapsed="false">
      <c r="A468" s="16"/>
      <c r="B468" s="8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row>
    <row r="469" customFormat="false" ht="15.75" hidden="false" customHeight="false" outlineLevel="0" collapsed="false">
      <c r="A469" s="16"/>
      <c r="B469" s="8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row>
    <row r="470" customFormat="false" ht="15.75" hidden="false" customHeight="false" outlineLevel="0" collapsed="false">
      <c r="A470" s="16"/>
      <c r="B470" s="8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row>
    <row r="471" customFormat="false" ht="15.75" hidden="false" customHeight="false" outlineLevel="0" collapsed="false">
      <c r="A471" s="16"/>
      <c r="B471" s="8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row>
    <row r="472" customFormat="false" ht="15.75" hidden="false" customHeight="false" outlineLevel="0" collapsed="false">
      <c r="A472" s="16"/>
      <c r="B472" s="8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row>
    <row r="473" customFormat="false" ht="15.75" hidden="false" customHeight="false" outlineLevel="0" collapsed="false">
      <c r="A473" s="16"/>
      <c r="B473" s="8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row>
    <row r="474" customFormat="false" ht="15.75" hidden="false" customHeight="false" outlineLevel="0" collapsed="false">
      <c r="A474" s="16"/>
      <c r="B474" s="8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row>
    <row r="475" customFormat="false" ht="15.75" hidden="false" customHeight="false" outlineLevel="0" collapsed="false">
      <c r="A475" s="16"/>
      <c r="B475" s="8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row>
    <row r="476" customFormat="false" ht="15.75" hidden="false" customHeight="false" outlineLevel="0" collapsed="false">
      <c r="A476" s="16"/>
      <c r="B476" s="8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row>
    <row r="477" customFormat="false" ht="15.75" hidden="false" customHeight="false" outlineLevel="0" collapsed="false">
      <c r="A477" s="16"/>
      <c r="B477" s="8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row>
    <row r="478" customFormat="false" ht="15.75" hidden="false" customHeight="false" outlineLevel="0" collapsed="false">
      <c r="A478" s="16"/>
      <c r="B478" s="8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row>
    <row r="479" customFormat="false" ht="15.75" hidden="false" customHeight="false" outlineLevel="0" collapsed="false">
      <c r="A479" s="16"/>
      <c r="B479" s="8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row>
    <row r="480" customFormat="false" ht="15.75" hidden="false" customHeight="false" outlineLevel="0" collapsed="false">
      <c r="A480" s="16"/>
      <c r="B480" s="8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row>
    <row r="481" customFormat="false" ht="15.75" hidden="false" customHeight="false" outlineLevel="0" collapsed="false">
      <c r="A481" s="16"/>
      <c r="B481" s="8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row>
    <row r="482" customFormat="false" ht="15.75" hidden="false" customHeight="false" outlineLevel="0" collapsed="false">
      <c r="A482" s="16"/>
      <c r="B482" s="8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row>
    <row r="483" customFormat="false" ht="15.75" hidden="false" customHeight="false" outlineLevel="0" collapsed="false">
      <c r="A483" s="16"/>
      <c r="B483" s="8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row>
    <row r="484" customFormat="false" ht="15.75" hidden="false" customHeight="false" outlineLevel="0" collapsed="false">
      <c r="A484" s="16"/>
      <c r="B484" s="8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row>
    <row r="485" customFormat="false" ht="15.75" hidden="false" customHeight="false" outlineLevel="0" collapsed="false">
      <c r="A485" s="16"/>
      <c r="B485" s="8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row>
    <row r="486" customFormat="false" ht="15.75" hidden="false" customHeight="false" outlineLevel="0" collapsed="false">
      <c r="A486" s="16"/>
      <c r="B486" s="8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row>
    <row r="487" customFormat="false" ht="15.75" hidden="false" customHeight="false" outlineLevel="0" collapsed="false">
      <c r="A487" s="16"/>
      <c r="B487" s="8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row>
    <row r="488" customFormat="false" ht="15.75" hidden="false" customHeight="false" outlineLevel="0" collapsed="false">
      <c r="A488" s="16"/>
      <c r="B488" s="8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row>
    <row r="489" customFormat="false" ht="15.75" hidden="false" customHeight="false" outlineLevel="0" collapsed="false">
      <c r="A489" s="16"/>
      <c r="B489" s="8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row>
    <row r="490" customFormat="false" ht="15.75" hidden="false" customHeight="false" outlineLevel="0" collapsed="false">
      <c r="A490" s="16"/>
      <c r="B490" s="8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row>
    <row r="491" customFormat="false" ht="15.75" hidden="false" customHeight="false" outlineLevel="0" collapsed="false">
      <c r="A491" s="16"/>
      <c r="B491" s="8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row>
    <row r="492" customFormat="false" ht="15.75" hidden="false" customHeight="false" outlineLevel="0" collapsed="false">
      <c r="A492" s="16"/>
      <c r="B492" s="8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row>
    <row r="493" customFormat="false" ht="15.75" hidden="false" customHeight="false" outlineLevel="0" collapsed="false">
      <c r="A493" s="16"/>
      <c r="B493" s="8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row>
    <row r="494" customFormat="false" ht="15.75" hidden="false" customHeight="false" outlineLevel="0" collapsed="false">
      <c r="A494" s="16"/>
      <c r="B494" s="8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row>
    <row r="495" customFormat="false" ht="15.75" hidden="false" customHeight="false" outlineLevel="0" collapsed="false">
      <c r="A495" s="16"/>
      <c r="B495" s="8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row>
    <row r="496" customFormat="false" ht="15.75" hidden="false" customHeight="false" outlineLevel="0" collapsed="false">
      <c r="A496" s="16"/>
      <c r="B496" s="8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row>
    <row r="497" customFormat="false" ht="15.75" hidden="false" customHeight="false" outlineLevel="0" collapsed="false">
      <c r="A497" s="16"/>
      <c r="B497" s="8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row>
    <row r="498" customFormat="false" ht="15.75" hidden="false" customHeight="false" outlineLevel="0" collapsed="false">
      <c r="A498" s="16"/>
      <c r="B498" s="8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row>
    <row r="499" customFormat="false" ht="15.75" hidden="false" customHeight="false" outlineLevel="0" collapsed="false">
      <c r="A499" s="16"/>
      <c r="B499" s="8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row>
    <row r="500" customFormat="false" ht="15.75" hidden="false" customHeight="false" outlineLevel="0" collapsed="false">
      <c r="A500" s="16"/>
      <c r="B500" s="8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row>
    <row r="501" customFormat="false" ht="15.75" hidden="false" customHeight="false" outlineLevel="0" collapsed="false">
      <c r="A501" s="16"/>
      <c r="B501" s="8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row>
    <row r="502" customFormat="false" ht="15.75" hidden="false" customHeight="false" outlineLevel="0" collapsed="false">
      <c r="A502" s="16"/>
      <c r="B502" s="8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row>
    <row r="503" customFormat="false" ht="15.75" hidden="false" customHeight="false" outlineLevel="0" collapsed="false">
      <c r="A503" s="16"/>
      <c r="B503" s="8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row>
    <row r="504" customFormat="false" ht="15.75" hidden="false" customHeight="false" outlineLevel="0" collapsed="false">
      <c r="A504" s="16"/>
      <c r="B504" s="8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row>
    <row r="505" customFormat="false" ht="15.75" hidden="false" customHeight="false" outlineLevel="0" collapsed="false">
      <c r="A505" s="16"/>
      <c r="B505" s="8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row>
    <row r="506" customFormat="false" ht="15.75" hidden="false" customHeight="false" outlineLevel="0" collapsed="false">
      <c r="A506" s="16"/>
      <c r="B506" s="8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row>
    <row r="507" customFormat="false" ht="15.75" hidden="false" customHeight="false" outlineLevel="0" collapsed="false">
      <c r="A507" s="16"/>
      <c r="B507" s="8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row>
    <row r="508" customFormat="false" ht="15.75" hidden="false" customHeight="false" outlineLevel="0" collapsed="false">
      <c r="A508" s="16"/>
      <c r="B508" s="8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row>
    <row r="509" customFormat="false" ht="15.75" hidden="false" customHeight="false" outlineLevel="0" collapsed="false">
      <c r="A509" s="16"/>
      <c r="B509" s="8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row>
    <row r="510" customFormat="false" ht="15.75" hidden="false" customHeight="false" outlineLevel="0" collapsed="false">
      <c r="A510" s="16"/>
      <c r="B510" s="8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row>
    <row r="511" customFormat="false" ht="15.75" hidden="false" customHeight="false" outlineLevel="0" collapsed="false">
      <c r="A511" s="16"/>
      <c r="B511" s="8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row>
    <row r="512" customFormat="false" ht="15.75" hidden="false" customHeight="false" outlineLevel="0" collapsed="false">
      <c r="A512" s="16"/>
      <c r="B512" s="8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row>
    <row r="513" customFormat="false" ht="15.75" hidden="false" customHeight="false" outlineLevel="0" collapsed="false">
      <c r="A513" s="16"/>
      <c r="B513" s="8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row>
    <row r="514" customFormat="false" ht="15.75" hidden="false" customHeight="false" outlineLevel="0" collapsed="false">
      <c r="A514" s="16"/>
      <c r="B514" s="8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row>
    <row r="515" customFormat="false" ht="15.75" hidden="false" customHeight="false" outlineLevel="0" collapsed="false">
      <c r="A515" s="16"/>
      <c r="B515" s="8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row>
    <row r="516" customFormat="false" ht="15.75" hidden="false" customHeight="false" outlineLevel="0" collapsed="false">
      <c r="A516" s="16"/>
      <c r="B516" s="8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row>
    <row r="517" customFormat="false" ht="15.75" hidden="false" customHeight="false" outlineLevel="0" collapsed="false">
      <c r="A517" s="16"/>
      <c r="B517" s="8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row>
    <row r="518" customFormat="false" ht="15.75" hidden="false" customHeight="false" outlineLevel="0" collapsed="false">
      <c r="A518" s="16"/>
      <c r="B518" s="8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row>
    <row r="519" customFormat="false" ht="15.75" hidden="false" customHeight="false" outlineLevel="0" collapsed="false">
      <c r="A519" s="16"/>
      <c r="B519" s="8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row>
    <row r="520" customFormat="false" ht="15.75" hidden="false" customHeight="false" outlineLevel="0" collapsed="false">
      <c r="A520" s="16"/>
      <c r="B520" s="8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row>
    <row r="521" customFormat="false" ht="15.75" hidden="false" customHeight="false" outlineLevel="0" collapsed="false">
      <c r="A521" s="16"/>
      <c r="B521" s="8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row>
    <row r="522" customFormat="false" ht="15.75" hidden="false" customHeight="false" outlineLevel="0" collapsed="false">
      <c r="A522" s="16"/>
      <c r="B522" s="8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row>
    <row r="523" customFormat="false" ht="15.75" hidden="false" customHeight="false" outlineLevel="0" collapsed="false">
      <c r="A523" s="16"/>
      <c r="B523" s="8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row>
    <row r="524" customFormat="false" ht="15.75" hidden="false" customHeight="false" outlineLevel="0" collapsed="false">
      <c r="A524" s="16"/>
      <c r="B524" s="8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row>
    <row r="525" customFormat="false" ht="15.75" hidden="false" customHeight="false" outlineLevel="0" collapsed="false">
      <c r="A525" s="16"/>
      <c r="B525" s="8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row>
    <row r="526" customFormat="false" ht="15.75" hidden="false" customHeight="false" outlineLevel="0" collapsed="false">
      <c r="A526" s="16"/>
      <c r="B526" s="8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row>
    <row r="527" customFormat="false" ht="15.75" hidden="false" customHeight="false" outlineLevel="0" collapsed="false">
      <c r="A527" s="16"/>
      <c r="B527" s="8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row>
    <row r="528" customFormat="false" ht="15.75" hidden="false" customHeight="false" outlineLevel="0" collapsed="false">
      <c r="A528" s="16"/>
      <c r="B528" s="8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row>
    <row r="529" customFormat="false" ht="15.75" hidden="false" customHeight="false" outlineLevel="0" collapsed="false">
      <c r="A529" s="16"/>
      <c r="B529" s="8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row>
    <row r="530" customFormat="false" ht="15.75" hidden="false" customHeight="false" outlineLevel="0" collapsed="false">
      <c r="A530" s="16"/>
      <c r="B530" s="8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row>
    <row r="531" customFormat="false" ht="15.75" hidden="false" customHeight="false" outlineLevel="0" collapsed="false">
      <c r="A531" s="16"/>
      <c r="B531" s="8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row>
    <row r="532" customFormat="false" ht="15.75" hidden="false" customHeight="false" outlineLevel="0" collapsed="false">
      <c r="A532" s="16"/>
      <c r="B532" s="8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row>
    <row r="533" customFormat="false" ht="15.75" hidden="false" customHeight="false" outlineLevel="0" collapsed="false">
      <c r="A533" s="16"/>
      <c r="B533" s="8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row>
    <row r="534" customFormat="false" ht="15.75" hidden="false" customHeight="false" outlineLevel="0" collapsed="false">
      <c r="A534" s="16"/>
      <c r="B534" s="8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row>
    <row r="535" customFormat="false" ht="15.75" hidden="false" customHeight="false" outlineLevel="0" collapsed="false">
      <c r="A535" s="16"/>
      <c r="B535" s="8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row>
    <row r="536" customFormat="false" ht="15.75" hidden="false" customHeight="false" outlineLevel="0" collapsed="false">
      <c r="A536" s="16"/>
      <c r="B536" s="8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row>
    <row r="537" customFormat="false" ht="15.75" hidden="false" customHeight="false" outlineLevel="0" collapsed="false">
      <c r="A537" s="16"/>
      <c r="B537" s="8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row>
    <row r="538" customFormat="false" ht="15.75" hidden="false" customHeight="false" outlineLevel="0" collapsed="false">
      <c r="A538" s="16"/>
      <c r="B538" s="8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row>
    <row r="539" customFormat="false" ht="15.75" hidden="false" customHeight="false" outlineLevel="0" collapsed="false">
      <c r="A539" s="16"/>
      <c r="B539" s="8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row>
    <row r="540" customFormat="false" ht="15.75" hidden="false" customHeight="false" outlineLevel="0" collapsed="false">
      <c r="A540" s="16"/>
      <c r="B540" s="8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row>
    <row r="541" customFormat="false" ht="15.75" hidden="false" customHeight="false" outlineLevel="0" collapsed="false">
      <c r="A541" s="16"/>
      <c r="B541" s="8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row>
    <row r="542" customFormat="false" ht="15.75" hidden="false" customHeight="false" outlineLevel="0" collapsed="false">
      <c r="A542" s="16"/>
      <c r="B542" s="8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row>
    <row r="543" customFormat="false" ht="15.75" hidden="false" customHeight="false" outlineLevel="0" collapsed="false">
      <c r="A543" s="16"/>
      <c r="B543" s="8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row>
    <row r="544" customFormat="false" ht="15.75" hidden="false" customHeight="false" outlineLevel="0" collapsed="false">
      <c r="A544" s="16"/>
      <c r="B544" s="8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row>
    <row r="545" customFormat="false" ht="15.75" hidden="false" customHeight="false" outlineLevel="0" collapsed="false">
      <c r="A545" s="16"/>
      <c r="B545" s="8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row>
    <row r="546" customFormat="false" ht="15.75" hidden="false" customHeight="false" outlineLevel="0" collapsed="false">
      <c r="A546" s="16"/>
      <c r="B546" s="8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row>
    <row r="547" customFormat="false" ht="15.75" hidden="false" customHeight="false" outlineLevel="0" collapsed="false">
      <c r="A547" s="16"/>
      <c r="B547" s="8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row>
    <row r="548" customFormat="false" ht="15.75" hidden="false" customHeight="false" outlineLevel="0" collapsed="false">
      <c r="A548" s="16"/>
      <c r="B548" s="8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row>
    <row r="549" customFormat="false" ht="15.75" hidden="false" customHeight="false" outlineLevel="0" collapsed="false">
      <c r="A549" s="16"/>
      <c r="B549" s="8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row>
    <row r="550" customFormat="false" ht="15.75" hidden="false" customHeight="false" outlineLevel="0" collapsed="false">
      <c r="A550" s="16"/>
      <c r="B550" s="8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row>
    <row r="551" customFormat="false" ht="15.75" hidden="false" customHeight="false" outlineLevel="0" collapsed="false">
      <c r="A551" s="16"/>
      <c r="B551" s="8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row>
    <row r="552" customFormat="false" ht="15.75" hidden="false" customHeight="false" outlineLevel="0" collapsed="false">
      <c r="A552" s="16"/>
      <c r="B552" s="8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row>
    <row r="553" customFormat="false" ht="15.75" hidden="false" customHeight="false" outlineLevel="0" collapsed="false">
      <c r="A553" s="16"/>
      <c r="B553" s="8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row>
    <row r="554" customFormat="false" ht="15.75" hidden="false" customHeight="false" outlineLevel="0" collapsed="false">
      <c r="A554" s="16"/>
      <c r="B554" s="8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row>
    <row r="555" customFormat="false" ht="15.75" hidden="false" customHeight="false" outlineLevel="0" collapsed="false">
      <c r="A555" s="16"/>
      <c r="B555" s="8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row>
    <row r="556" customFormat="false" ht="15.75" hidden="false" customHeight="false" outlineLevel="0" collapsed="false">
      <c r="A556" s="16"/>
      <c r="B556" s="8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row>
    <row r="557" customFormat="false" ht="15.75" hidden="false" customHeight="false" outlineLevel="0" collapsed="false">
      <c r="A557" s="16"/>
      <c r="B557" s="8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row>
    <row r="558" customFormat="false" ht="15.75" hidden="false" customHeight="false" outlineLevel="0" collapsed="false">
      <c r="A558" s="16"/>
      <c r="B558" s="8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row>
    <row r="559" customFormat="false" ht="15.75" hidden="false" customHeight="false" outlineLevel="0" collapsed="false">
      <c r="A559" s="16"/>
      <c r="B559" s="8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row>
    <row r="560" customFormat="false" ht="15.75" hidden="false" customHeight="false" outlineLevel="0" collapsed="false">
      <c r="A560" s="16"/>
      <c r="B560" s="8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row>
    <row r="561" customFormat="false" ht="15.75" hidden="false" customHeight="false" outlineLevel="0" collapsed="false">
      <c r="A561" s="16"/>
      <c r="B561" s="8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row>
    <row r="562" customFormat="false" ht="15.75" hidden="false" customHeight="false" outlineLevel="0" collapsed="false">
      <c r="A562" s="16"/>
      <c r="B562" s="8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row>
    <row r="563" customFormat="false" ht="15.75" hidden="false" customHeight="false" outlineLevel="0" collapsed="false">
      <c r="A563" s="16"/>
      <c r="B563" s="8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row>
    <row r="564" customFormat="false" ht="15.75" hidden="false" customHeight="false" outlineLevel="0" collapsed="false">
      <c r="A564" s="16"/>
      <c r="B564" s="8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row>
    <row r="565" customFormat="false" ht="15.75" hidden="false" customHeight="false" outlineLevel="0" collapsed="false">
      <c r="A565" s="16"/>
      <c r="B565" s="8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row>
    <row r="566" customFormat="false" ht="15.75" hidden="false" customHeight="false" outlineLevel="0" collapsed="false">
      <c r="A566" s="16"/>
      <c r="B566" s="8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row>
    <row r="567" customFormat="false" ht="15.75" hidden="false" customHeight="false" outlineLevel="0" collapsed="false">
      <c r="A567" s="16"/>
      <c r="B567" s="8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row>
    <row r="568" customFormat="false" ht="15.75" hidden="false" customHeight="false" outlineLevel="0" collapsed="false">
      <c r="A568" s="16"/>
      <c r="B568" s="8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row>
    <row r="569" customFormat="false" ht="15.75" hidden="false" customHeight="false" outlineLevel="0" collapsed="false">
      <c r="A569" s="16"/>
      <c r="B569" s="8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row>
    <row r="570" customFormat="false" ht="15.75" hidden="false" customHeight="false" outlineLevel="0" collapsed="false">
      <c r="A570" s="16"/>
      <c r="B570" s="8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row>
    <row r="571" customFormat="false" ht="15.75" hidden="false" customHeight="false" outlineLevel="0" collapsed="false">
      <c r="A571" s="16"/>
      <c r="B571" s="8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row>
    <row r="572" customFormat="false" ht="15.75" hidden="false" customHeight="false" outlineLevel="0" collapsed="false">
      <c r="A572" s="16"/>
      <c r="B572" s="8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row>
    <row r="573" customFormat="false" ht="15.75" hidden="false" customHeight="false" outlineLevel="0" collapsed="false">
      <c r="A573" s="16"/>
      <c r="B573" s="8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row>
    <row r="574" customFormat="false" ht="15.75" hidden="false" customHeight="false" outlineLevel="0" collapsed="false">
      <c r="A574" s="16"/>
      <c r="B574" s="8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row>
    <row r="575" customFormat="false" ht="15.75" hidden="false" customHeight="false" outlineLevel="0" collapsed="false">
      <c r="A575" s="16"/>
      <c r="B575" s="8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row>
    <row r="576" customFormat="false" ht="15.75" hidden="false" customHeight="false" outlineLevel="0" collapsed="false">
      <c r="A576" s="16"/>
      <c r="B576" s="8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row>
    <row r="577" customFormat="false" ht="15.75" hidden="false" customHeight="false" outlineLevel="0" collapsed="false">
      <c r="A577" s="16"/>
      <c r="B577" s="8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row>
    <row r="578" customFormat="false" ht="15.75" hidden="false" customHeight="false" outlineLevel="0" collapsed="false">
      <c r="A578" s="16"/>
      <c r="B578" s="8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row>
    <row r="579" customFormat="false" ht="15.75" hidden="false" customHeight="false" outlineLevel="0" collapsed="false">
      <c r="A579" s="16"/>
      <c r="B579" s="8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row>
    <row r="580" customFormat="false" ht="15.75" hidden="false" customHeight="false" outlineLevel="0" collapsed="false">
      <c r="A580" s="16"/>
      <c r="B580" s="8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row>
    <row r="581" customFormat="false" ht="15.75" hidden="false" customHeight="false" outlineLevel="0" collapsed="false">
      <c r="A581" s="16"/>
      <c r="B581" s="8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row>
    <row r="582" customFormat="false" ht="15.75" hidden="false" customHeight="false" outlineLevel="0" collapsed="false">
      <c r="A582" s="16"/>
      <c r="B582" s="8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row>
    <row r="583" customFormat="false" ht="15.75" hidden="false" customHeight="false" outlineLevel="0" collapsed="false">
      <c r="A583" s="16"/>
      <c r="B583" s="8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row>
    <row r="584" customFormat="false" ht="15.75" hidden="false" customHeight="false" outlineLevel="0" collapsed="false">
      <c r="A584" s="16"/>
      <c r="B584" s="8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row>
    <row r="585" customFormat="false" ht="15.75" hidden="false" customHeight="false" outlineLevel="0" collapsed="false">
      <c r="A585" s="16"/>
      <c r="B585" s="8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row>
    <row r="586" customFormat="false" ht="15.75" hidden="false" customHeight="false" outlineLevel="0" collapsed="false">
      <c r="A586" s="16"/>
      <c r="B586" s="8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row>
    <row r="587" customFormat="false" ht="15.75" hidden="false" customHeight="false" outlineLevel="0" collapsed="false">
      <c r="A587" s="16"/>
      <c r="B587" s="8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row>
    <row r="588" customFormat="false" ht="15.75" hidden="false" customHeight="false" outlineLevel="0" collapsed="false">
      <c r="A588" s="16"/>
      <c r="B588" s="8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row>
    <row r="589" customFormat="false" ht="15.75" hidden="false" customHeight="false" outlineLevel="0" collapsed="false">
      <c r="A589" s="16"/>
      <c r="B589" s="8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row>
    <row r="590" customFormat="false" ht="15.75" hidden="false" customHeight="false" outlineLevel="0" collapsed="false">
      <c r="A590" s="16"/>
      <c r="B590" s="8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row>
    <row r="591" customFormat="false" ht="15.75" hidden="false" customHeight="false" outlineLevel="0" collapsed="false">
      <c r="A591" s="16"/>
      <c r="B591" s="8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row>
    <row r="592" customFormat="false" ht="15.75" hidden="false" customHeight="false" outlineLevel="0" collapsed="false">
      <c r="A592" s="16"/>
      <c r="B592" s="8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row>
    <row r="593" customFormat="false" ht="15.75" hidden="false" customHeight="false" outlineLevel="0" collapsed="false">
      <c r="A593" s="16"/>
      <c r="B593" s="8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row>
    <row r="594" customFormat="false" ht="15.75" hidden="false" customHeight="false" outlineLevel="0" collapsed="false">
      <c r="A594" s="16"/>
      <c r="B594" s="8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row>
    <row r="595" customFormat="false" ht="15.75" hidden="false" customHeight="false" outlineLevel="0" collapsed="false">
      <c r="A595" s="16"/>
      <c r="B595" s="8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row>
    <row r="596" customFormat="false" ht="15.75" hidden="false" customHeight="false" outlineLevel="0" collapsed="false">
      <c r="A596" s="16"/>
      <c r="B596" s="8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row>
    <row r="597" customFormat="false" ht="15.75" hidden="false" customHeight="false" outlineLevel="0" collapsed="false">
      <c r="A597" s="16"/>
      <c r="B597" s="8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row>
    <row r="598" customFormat="false" ht="15.75" hidden="false" customHeight="false" outlineLevel="0" collapsed="false">
      <c r="A598" s="16"/>
      <c r="B598" s="8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row>
    <row r="599" customFormat="false" ht="15.75" hidden="false" customHeight="false" outlineLevel="0" collapsed="false">
      <c r="A599" s="16"/>
      <c r="B599" s="8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row>
    <row r="600" customFormat="false" ht="15.75" hidden="false" customHeight="false" outlineLevel="0" collapsed="false">
      <c r="A600" s="16"/>
      <c r="B600" s="8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row>
    <row r="601" customFormat="false" ht="15.75" hidden="false" customHeight="false" outlineLevel="0" collapsed="false">
      <c r="A601" s="16"/>
      <c r="B601" s="8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row>
    <row r="602" customFormat="false" ht="15.75" hidden="false" customHeight="false" outlineLevel="0" collapsed="false">
      <c r="A602" s="16"/>
      <c r="B602" s="8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row>
    <row r="603" customFormat="false" ht="15.75" hidden="false" customHeight="false" outlineLevel="0" collapsed="false">
      <c r="A603" s="16"/>
      <c r="B603" s="8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row>
    <row r="604" customFormat="false" ht="15.75" hidden="false" customHeight="false" outlineLevel="0" collapsed="false">
      <c r="A604" s="16"/>
      <c r="B604" s="8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row>
    <row r="605" customFormat="false" ht="15.75" hidden="false" customHeight="false" outlineLevel="0" collapsed="false">
      <c r="A605" s="16"/>
      <c r="B605" s="8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row>
    <row r="606" customFormat="false" ht="15.75" hidden="false" customHeight="false" outlineLevel="0" collapsed="false">
      <c r="A606" s="16"/>
      <c r="B606" s="8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row>
    <row r="607" customFormat="false" ht="15.75" hidden="false" customHeight="false" outlineLevel="0" collapsed="false">
      <c r="A607" s="16"/>
      <c r="B607" s="8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row>
    <row r="608" customFormat="false" ht="15.75" hidden="false" customHeight="false" outlineLevel="0" collapsed="false">
      <c r="A608" s="16"/>
      <c r="B608" s="8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row>
    <row r="609" customFormat="false" ht="15.75" hidden="false" customHeight="false" outlineLevel="0" collapsed="false">
      <c r="A609" s="16"/>
      <c r="B609" s="8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row>
    <row r="610" customFormat="false" ht="15.75" hidden="false" customHeight="false" outlineLevel="0" collapsed="false">
      <c r="A610" s="16"/>
      <c r="B610" s="8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row>
    <row r="611" customFormat="false" ht="15.75" hidden="false" customHeight="false" outlineLevel="0" collapsed="false">
      <c r="A611" s="16"/>
      <c r="B611" s="8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row>
    <row r="612" customFormat="false" ht="15.75" hidden="false" customHeight="false" outlineLevel="0" collapsed="false">
      <c r="A612" s="16"/>
      <c r="B612" s="8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row>
    <row r="613" customFormat="false" ht="15.75" hidden="false" customHeight="false" outlineLevel="0" collapsed="false">
      <c r="A613" s="16"/>
      <c r="B613" s="8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row>
    <row r="614" customFormat="false" ht="15.75" hidden="false" customHeight="false" outlineLevel="0" collapsed="false">
      <c r="A614" s="16"/>
      <c r="B614" s="8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row>
    <row r="615" customFormat="false" ht="15.75" hidden="false" customHeight="false" outlineLevel="0" collapsed="false">
      <c r="A615" s="16"/>
      <c r="B615" s="8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row>
    <row r="616" customFormat="false" ht="15.75" hidden="false" customHeight="false" outlineLevel="0" collapsed="false">
      <c r="A616" s="16"/>
      <c r="B616" s="8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row>
    <row r="617" customFormat="false" ht="15.75" hidden="false" customHeight="false" outlineLevel="0" collapsed="false">
      <c r="A617" s="16"/>
      <c r="B617" s="8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row>
    <row r="618" customFormat="false" ht="15.75" hidden="false" customHeight="false" outlineLevel="0" collapsed="false">
      <c r="A618" s="16"/>
      <c r="B618" s="8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row>
    <row r="619" customFormat="false" ht="15.75" hidden="false" customHeight="false" outlineLevel="0" collapsed="false">
      <c r="A619" s="16"/>
      <c r="B619" s="8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row>
    <row r="620" customFormat="false" ht="15.75" hidden="false" customHeight="false" outlineLevel="0" collapsed="false">
      <c r="A620" s="16"/>
      <c r="B620" s="8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row>
    <row r="621" customFormat="false" ht="15.75" hidden="false" customHeight="false" outlineLevel="0" collapsed="false">
      <c r="A621" s="16"/>
      <c r="B621" s="8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row>
    <row r="622" customFormat="false" ht="15.75" hidden="false" customHeight="false" outlineLevel="0" collapsed="false">
      <c r="A622" s="16"/>
      <c r="B622" s="8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row>
    <row r="623" customFormat="false" ht="15.75" hidden="false" customHeight="false" outlineLevel="0" collapsed="false">
      <c r="A623" s="16"/>
      <c r="B623" s="8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row>
    <row r="624" customFormat="false" ht="15.75" hidden="false" customHeight="false" outlineLevel="0" collapsed="false">
      <c r="A624" s="16"/>
      <c r="B624" s="8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row>
    <row r="625" customFormat="false" ht="15.75" hidden="false" customHeight="false" outlineLevel="0" collapsed="false">
      <c r="A625" s="16"/>
      <c r="B625" s="8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row>
    <row r="626" customFormat="false" ht="15.75" hidden="false" customHeight="false" outlineLevel="0" collapsed="false">
      <c r="A626" s="16"/>
      <c r="B626" s="8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row>
    <row r="627" customFormat="false" ht="15.75" hidden="false" customHeight="false" outlineLevel="0" collapsed="false">
      <c r="A627" s="16"/>
      <c r="B627" s="8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row>
    <row r="628" customFormat="false" ht="15.75" hidden="false" customHeight="false" outlineLevel="0" collapsed="false">
      <c r="A628" s="16"/>
      <c r="B628" s="8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row>
    <row r="629" customFormat="false" ht="15.75" hidden="false" customHeight="false" outlineLevel="0" collapsed="false">
      <c r="A629" s="16"/>
      <c r="B629" s="8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row>
    <row r="630" customFormat="false" ht="15.75" hidden="false" customHeight="false" outlineLevel="0" collapsed="false">
      <c r="A630" s="16"/>
      <c r="B630" s="8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row>
    <row r="631" customFormat="false" ht="15.75" hidden="false" customHeight="false" outlineLevel="0" collapsed="false">
      <c r="A631" s="16"/>
      <c r="B631" s="8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row>
    <row r="632" customFormat="false" ht="15.75" hidden="false" customHeight="false" outlineLevel="0" collapsed="false">
      <c r="A632" s="16"/>
      <c r="B632" s="8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row>
    <row r="633" customFormat="false" ht="15.75" hidden="false" customHeight="false" outlineLevel="0" collapsed="false">
      <c r="A633" s="16"/>
      <c r="B633" s="8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row>
    <row r="634" customFormat="false" ht="15.75" hidden="false" customHeight="false" outlineLevel="0" collapsed="false">
      <c r="A634" s="16"/>
      <c r="B634" s="8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row>
    <row r="635" customFormat="false" ht="15.75" hidden="false" customHeight="false" outlineLevel="0" collapsed="false">
      <c r="A635" s="16"/>
      <c r="B635" s="8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row>
    <row r="636" customFormat="false" ht="15.75" hidden="false" customHeight="false" outlineLevel="0" collapsed="false">
      <c r="A636" s="16"/>
      <c r="B636" s="8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row>
    <row r="637" customFormat="false" ht="15.75" hidden="false" customHeight="false" outlineLevel="0" collapsed="false">
      <c r="A637" s="16"/>
      <c r="B637" s="8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row>
    <row r="638" customFormat="false" ht="15.75" hidden="false" customHeight="false" outlineLevel="0" collapsed="false">
      <c r="A638" s="16"/>
      <c r="B638" s="8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row>
    <row r="639" customFormat="false" ht="15.75" hidden="false" customHeight="false" outlineLevel="0" collapsed="false">
      <c r="A639" s="16"/>
      <c r="B639" s="8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row>
    <row r="640" customFormat="false" ht="15.75" hidden="false" customHeight="false" outlineLevel="0" collapsed="false">
      <c r="A640" s="16"/>
      <c r="B640" s="8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row>
    <row r="641" customFormat="false" ht="15.75" hidden="false" customHeight="false" outlineLevel="0" collapsed="false">
      <c r="A641" s="16"/>
      <c r="B641" s="8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row>
    <row r="642" customFormat="false" ht="15.75" hidden="false" customHeight="false" outlineLevel="0" collapsed="false">
      <c r="A642" s="16"/>
      <c r="B642" s="8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row>
    <row r="643" customFormat="false" ht="15.75" hidden="false" customHeight="false" outlineLevel="0" collapsed="false">
      <c r="A643" s="16"/>
      <c r="B643" s="8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row>
    <row r="644" customFormat="false" ht="15.75" hidden="false" customHeight="false" outlineLevel="0" collapsed="false">
      <c r="A644" s="16"/>
      <c r="B644" s="8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row>
    <row r="645" customFormat="false" ht="15.75" hidden="false" customHeight="false" outlineLevel="0" collapsed="false">
      <c r="A645" s="16"/>
      <c r="B645" s="8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row>
    <row r="646" customFormat="false" ht="15.75" hidden="false" customHeight="false" outlineLevel="0" collapsed="false">
      <c r="A646" s="16"/>
      <c r="B646" s="8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row>
    <row r="647" customFormat="false" ht="15.75" hidden="false" customHeight="false" outlineLevel="0" collapsed="false">
      <c r="A647" s="16"/>
      <c r="B647" s="8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row>
    <row r="648" customFormat="false" ht="15.75" hidden="false" customHeight="false" outlineLevel="0" collapsed="false">
      <c r="A648" s="16"/>
      <c r="B648" s="8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row>
    <row r="649" customFormat="false" ht="15.75" hidden="false" customHeight="false" outlineLevel="0" collapsed="false">
      <c r="A649" s="16"/>
      <c r="B649" s="8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row>
    <row r="650" customFormat="false" ht="15.75" hidden="false" customHeight="false" outlineLevel="0" collapsed="false">
      <c r="A650" s="16"/>
      <c r="B650" s="8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row>
    <row r="651" customFormat="false" ht="15.75" hidden="false" customHeight="false" outlineLevel="0" collapsed="false">
      <c r="A651" s="16"/>
      <c r="B651" s="8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row>
    <row r="652" customFormat="false" ht="15.75" hidden="false" customHeight="false" outlineLevel="0" collapsed="false">
      <c r="A652" s="16"/>
      <c r="B652" s="8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row>
    <row r="653" customFormat="false" ht="15.75" hidden="false" customHeight="false" outlineLevel="0" collapsed="false">
      <c r="A653" s="16"/>
      <c r="B653" s="8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row>
    <row r="654" customFormat="false" ht="15.75" hidden="false" customHeight="false" outlineLevel="0" collapsed="false">
      <c r="A654" s="16"/>
      <c r="B654" s="8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row>
    <row r="655" customFormat="false" ht="15.75" hidden="false" customHeight="false" outlineLevel="0" collapsed="false">
      <c r="A655" s="16"/>
      <c r="B655" s="8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row>
    <row r="656" customFormat="false" ht="15.75" hidden="false" customHeight="false" outlineLevel="0" collapsed="false">
      <c r="A656" s="16"/>
      <c r="B656" s="8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row>
    <row r="657" customFormat="false" ht="15.75" hidden="false" customHeight="false" outlineLevel="0" collapsed="false">
      <c r="A657" s="16"/>
      <c r="B657" s="8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row>
    <row r="658" customFormat="false" ht="15.75" hidden="false" customHeight="false" outlineLevel="0" collapsed="false">
      <c r="A658" s="16"/>
      <c r="B658" s="8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row>
    <row r="659" customFormat="false" ht="15.75" hidden="false" customHeight="false" outlineLevel="0" collapsed="false">
      <c r="A659" s="16"/>
      <c r="B659" s="8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row>
    <row r="660" customFormat="false" ht="15.75" hidden="false" customHeight="false" outlineLevel="0" collapsed="false">
      <c r="A660" s="16"/>
      <c r="B660" s="8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row>
    <row r="661" customFormat="false" ht="15.75" hidden="false" customHeight="false" outlineLevel="0" collapsed="false">
      <c r="A661" s="16"/>
      <c r="B661" s="8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row>
    <row r="662" customFormat="false" ht="15.75" hidden="false" customHeight="false" outlineLevel="0" collapsed="false">
      <c r="A662" s="16"/>
      <c r="B662" s="8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row>
    <row r="663" customFormat="false" ht="15.75" hidden="false" customHeight="false" outlineLevel="0" collapsed="false">
      <c r="A663" s="16"/>
      <c r="B663" s="8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row>
    <row r="664" customFormat="false" ht="15.75" hidden="false" customHeight="false" outlineLevel="0" collapsed="false">
      <c r="A664" s="16"/>
      <c r="B664" s="8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row>
    <row r="665" customFormat="false" ht="15.75" hidden="false" customHeight="false" outlineLevel="0" collapsed="false">
      <c r="A665" s="16"/>
      <c r="B665" s="8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row>
    <row r="666" customFormat="false" ht="15.75" hidden="false" customHeight="false" outlineLevel="0" collapsed="false">
      <c r="A666" s="16"/>
      <c r="B666" s="8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row>
    <row r="667" customFormat="false" ht="15.75" hidden="false" customHeight="false" outlineLevel="0" collapsed="false">
      <c r="A667" s="16"/>
      <c r="B667" s="8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row>
    <row r="668" customFormat="false" ht="15.75" hidden="false" customHeight="false" outlineLevel="0" collapsed="false">
      <c r="A668" s="16"/>
      <c r="B668" s="8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row>
    <row r="669" customFormat="false" ht="15.75" hidden="false" customHeight="false" outlineLevel="0" collapsed="false">
      <c r="A669" s="16"/>
      <c r="B669" s="8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row>
    <row r="670" customFormat="false" ht="15.75" hidden="false" customHeight="false" outlineLevel="0" collapsed="false">
      <c r="A670" s="16"/>
      <c r="B670" s="8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row>
    <row r="671" customFormat="false" ht="15.75" hidden="false" customHeight="false" outlineLevel="0" collapsed="false">
      <c r="A671" s="16"/>
      <c r="B671" s="8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row>
    <row r="672" customFormat="false" ht="15.75" hidden="false" customHeight="false" outlineLevel="0" collapsed="false">
      <c r="A672" s="16"/>
      <c r="B672" s="8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row>
    <row r="673" customFormat="false" ht="15.75" hidden="false" customHeight="false" outlineLevel="0" collapsed="false">
      <c r="A673" s="16"/>
      <c r="B673" s="8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row>
    <row r="674" customFormat="false" ht="15.75" hidden="false" customHeight="false" outlineLevel="0" collapsed="false">
      <c r="A674" s="16"/>
      <c r="B674" s="8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row>
    <row r="675" customFormat="false" ht="15.75" hidden="false" customHeight="false" outlineLevel="0" collapsed="false">
      <c r="A675" s="16"/>
      <c r="B675" s="8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row>
    <row r="676" customFormat="false" ht="15.75" hidden="false" customHeight="false" outlineLevel="0" collapsed="false">
      <c r="A676" s="16"/>
      <c r="B676" s="8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row>
    <row r="677" customFormat="false" ht="15.75" hidden="false" customHeight="false" outlineLevel="0" collapsed="false">
      <c r="A677" s="16"/>
      <c r="B677" s="8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row>
    <row r="678" customFormat="false" ht="15.75" hidden="false" customHeight="false" outlineLevel="0" collapsed="false">
      <c r="A678" s="16"/>
      <c r="B678" s="8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row>
    <row r="679" customFormat="false" ht="15.75" hidden="false" customHeight="false" outlineLevel="0" collapsed="false">
      <c r="A679" s="16"/>
      <c r="B679" s="8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row>
    <row r="680" customFormat="false" ht="15.75" hidden="false" customHeight="false" outlineLevel="0" collapsed="false">
      <c r="A680" s="16"/>
      <c r="B680" s="8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row>
    <row r="681" customFormat="false" ht="15.75" hidden="false" customHeight="false" outlineLevel="0" collapsed="false">
      <c r="A681" s="16"/>
      <c r="B681" s="8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row>
    <row r="682" customFormat="false" ht="15.75" hidden="false" customHeight="false" outlineLevel="0" collapsed="false">
      <c r="A682" s="16"/>
      <c r="B682" s="8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row>
    <row r="683" customFormat="false" ht="15.75" hidden="false" customHeight="false" outlineLevel="0" collapsed="false">
      <c r="A683" s="16"/>
      <c r="B683" s="8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row>
    <row r="684" customFormat="false" ht="15.75" hidden="false" customHeight="false" outlineLevel="0" collapsed="false">
      <c r="A684" s="16"/>
      <c r="B684" s="8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row>
    <row r="685" customFormat="false" ht="15.75" hidden="false" customHeight="false" outlineLevel="0" collapsed="false">
      <c r="A685" s="16"/>
      <c r="B685" s="8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row>
    <row r="686" customFormat="false" ht="15.75" hidden="false" customHeight="false" outlineLevel="0" collapsed="false">
      <c r="A686" s="16"/>
      <c r="B686" s="8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row>
    <row r="687" customFormat="false" ht="15.75" hidden="false" customHeight="false" outlineLevel="0" collapsed="false">
      <c r="A687" s="16"/>
      <c r="B687" s="8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row>
    <row r="688" customFormat="false" ht="15.75" hidden="false" customHeight="false" outlineLevel="0" collapsed="false">
      <c r="A688" s="16"/>
      <c r="B688" s="8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row>
    <row r="689" customFormat="false" ht="15.75" hidden="false" customHeight="false" outlineLevel="0" collapsed="false">
      <c r="A689" s="16"/>
      <c r="B689" s="8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row>
    <row r="690" customFormat="false" ht="15.75" hidden="false" customHeight="false" outlineLevel="0" collapsed="false">
      <c r="A690" s="16"/>
      <c r="B690" s="8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row>
    <row r="691" customFormat="false" ht="15.75" hidden="false" customHeight="false" outlineLevel="0" collapsed="false">
      <c r="A691" s="16"/>
      <c r="B691" s="8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row>
    <row r="692" customFormat="false" ht="15.75" hidden="false" customHeight="false" outlineLevel="0" collapsed="false">
      <c r="A692" s="16"/>
      <c r="B692" s="8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row>
    <row r="693" customFormat="false" ht="15.75" hidden="false" customHeight="false" outlineLevel="0" collapsed="false">
      <c r="A693" s="16"/>
      <c r="B693" s="8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row>
    <row r="694" customFormat="false" ht="15.75" hidden="false" customHeight="false" outlineLevel="0" collapsed="false">
      <c r="A694" s="16"/>
      <c r="B694" s="8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row>
    <row r="695" customFormat="false" ht="15.75" hidden="false" customHeight="false" outlineLevel="0" collapsed="false">
      <c r="A695" s="16"/>
      <c r="B695" s="8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row>
    <row r="696" customFormat="false" ht="15.75" hidden="false" customHeight="false" outlineLevel="0" collapsed="false">
      <c r="A696" s="16"/>
      <c r="B696" s="8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row>
    <row r="697" customFormat="false" ht="15.75" hidden="false" customHeight="false" outlineLevel="0" collapsed="false">
      <c r="A697" s="16"/>
      <c r="B697" s="8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row>
    <row r="698" customFormat="false" ht="15.75" hidden="false" customHeight="false" outlineLevel="0" collapsed="false">
      <c r="A698" s="16"/>
      <c r="B698" s="8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row>
    <row r="699" customFormat="false" ht="15.75" hidden="false" customHeight="false" outlineLevel="0" collapsed="false">
      <c r="A699" s="16"/>
      <c r="B699" s="8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row>
    <row r="700" customFormat="false" ht="15.75" hidden="false" customHeight="false" outlineLevel="0" collapsed="false">
      <c r="A700" s="16"/>
      <c r="B700" s="8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row>
    <row r="701" customFormat="false" ht="15.75" hidden="false" customHeight="false" outlineLevel="0" collapsed="false">
      <c r="A701" s="16"/>
      <c r="B701" s="8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row>
    <row r="702" customFormat="false" ht="15.75" hidden="false" customHeight="false" outlineLevel="0" collapsed="false">
      <c r="A702" s="16"/>
      <c r="B702" s="8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row>
    <row r="703" customFormat="false" ht="15.75" hidden="false" customHeight="false" outlineLevel="0" collapsed="false">
      <c r="A703" s="16"/>
      <c r="B703" s="8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row>
    <row r="704" customFormat="false" ht="15.75" hidden="false" customHeight="false" outlineLevel="0" collapsed="false">
      <c r="A704" s="16"/>
      <c r="B704" s="8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row>
    <row r="705" customFormat="false" ht="15.75" hidden="false" customHeight="false" outlineLevel="0" collapsed="false">
      <c r="A705" s="16"/>
      <c r="B705" s="8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row>
    <row r="706" customFormat="false" ht="15.75" hidden="false" customHeight="false" outlineLevel="0" collapsed="false">
      <c r="A706" s="16"/>
      <c r="B706" s="8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row>
    <row r="707" customFormat="false" ht="15.75" hidden="false" customHeight="false" outlineLevel="0" collapsed="false">
      <c r="A707" s="16"/>
      <c r="B707" s="8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row>
    <row r="708" customFormat="false" ht="15.75" hidden="false" customHeight="false" outlineLevel="0" collapsed="false">
      <c r="A708" s="16"/>
      <c r="B708" s="8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row>
    <row r="709" customFormat="false" ht="15.75" hidden="false" customHeight="false" outlineLevel="0" collapsed="false">
      <c r="A709" s="16"/>
      <c r="B709" s="8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row>
    <row r="710" customFormat="false" ht="15.75" hidden="false" customHeight="false" outlineLevel="0" collapsed="false">
      <c r="A710" s="16"/>
      <c r="B710" s="8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row>
    <row r="711" customFormat="false" ht="15.75" hidden="false" customHeight="false" outlineLevel="0" collapsed="false">
      <c r="A711" s="16"/>
      <c r="B711" s="8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row>
    <row r="712" customFormat="false" ht="15.75" hidden="false" customHeight="false" outlineLevel="0" collapsed="false">
      <c r="A712" s="16"/>
      <c r="B712" s="8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row>
    <row r="713" customFormat="false" ht="15.75" hidden="false" customHeight="false" outlineLevel="0" collapsed="false">
      <c r="A713" s="16"/>
      <c r="B713" s="8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row>
    <row r="714" customFormat="false" ht="15.75" hidden="false" customHeight="false" outlineLevel="0" collapsed="false">
      <c r="A714" s="16"/>
      <c r="B714" s="8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row>
    <row r="715" customFormat="false" ht="15.75" hidden="false" customHeight="false" outlineLevel="0" collapsed="false">
      <c r="A715" s="16"/>
      <c r="B715" s="8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row>
    <row r="716" customFormat="false" ht="15.75" hidden="false" customHeight="false" outlineLevel="0" collapsed="false">
      <c r="A716" s="16"/>
      <c r="B716" s="8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row>
    <row r="717" customFormat="false" ht="15.75" hidden="false" customHeight="false" outlineLevel="0" collapsed="false">
      <c r="A717" s="16"/>
      <c r="B717" s="8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row>
    <row r="718" customFormat="false" ht="15.75" hidden="false" customHeight="false" outlineLevel="0" collapsed="false">
      <c r="A718" s="16"/>
      <c r="B718" s="8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row>
    <row r="719" customFormat="false" ht="15.75" hidden="false" customHeight="false" outlineLevel="0" collapsed="false">
      <c r="A719" s="16"/>
      <c r="B719" s="8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row>
    <row r="720" customFormat="false" ht="15.75" hidden="false" customHeight="false" outlineLevel="0" collapsed="false">
      <c r="A720" s="16"/>
      <c r="B720" s="8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row>
    <row r="721" customFormat="false" ht="15.75" hidden="false" customHeight="false" outlineLevel="0" collapsed="false">
      <c r="A721" s="16"/>
      <c r="B721" s="8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row>
    <row r="722" customFormat="false" ht="15.75" hidden="false" customHeight="false" outlineLevel="0" collapsed="false">
      <c r="A722" s="16"/>
      <c r="B722" s="8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row>
    <row r="723" customFormat="false" ht="15.75" hidden="false" customHeight="false" outlineLevel="0" collapsed="false">
      <c r="A723" s="16"/>
      <c r="B723" s="8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row>
    <row r="724" customFormat="false" ht="15.75" hidden="false" customHeight="false" outlineLevel="0" collapsed="false">
      <c r="A724" s="16"/>
      <c r="B724" s="8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row>
    <row r="725" customFormat="false" ht="15.75" hidden="false" customHeight="false" outlineLevel="0" collapsed="false">
      <c r="A725" s="16"/>
      <c r="B725" s="8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row>
    <row r="726" customFormat="false" ht="15.75" hidden="false" customHeight="false" outlineLevel="0" collapsed="false">
      <c r="A726" s="16"/>
      <c r="B726" s="8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row>
    <row r="727" customFormat="false" ht="15.75" hidden="false" customHeight="false" outlineLevel="0" collapsed="false">
      <c r="A727" s="16"/>
      <c r="B727" s="8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row>
    <row r="728" customFormat="false" ht="15.75" hidden="false" customHeight="false" outlineLevel="0" collapsed="false">
      <c r="A728" s="16"/>
      <c r="B728" s="8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row>
    <row r="729" customFormat="false" ht="15.75" hidden="false" customHeight="false" outlineLevel="0" collapsed="false">
      <c r="A729" s="16"/>
      <c r="B729" s="8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row>
    <row r="730" customFormat="false" ht="15.75" hidden="false" customHeight="false" outlineLevel="0" collapsed="false">
      <c r="A730" s="16"/>
      <c r="B730" s="8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row>
    <row r="731" customFormat="false" ht="15.75" hidden="false" customHeight="false" outlineLevel="0" collapsed="false">
      <c r="A731" s="16"/>
      <c r="B731" s="8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row>
    <row r="732" customFormat="false" ht="15.75" hidden="false" customHeight="false" outlineLevel="0" collapsed="false">
      <c r="A732" s="16"/>
      <c r="B732" s="8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row>
    <row r="733" customFormat="false" ht="15.75" hidden="false" customHeight="false" outlineLevel="0" collapsed="false">
      <c r="A733" s="16"/>
      <c r="B733" s="8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row>
    <row r="734" customFormat="false" ht="15.75" hidden="false" customHeight="false" outlineLevel="0" collapsed="false">
      <c r="A734" s="16"/>
      <c r="B734" s="8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row>
    <row r="735" customFormat="false" ht="15.75" hidden="false" customHeight="false" outlineLevel="0" collapsed="false">
      <c r="A735" s="16"/>
      <c r="B735" s="8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row>
    <row r="736" customFormat="false" ht="15.75" hidden="false" customHeight="false" outlineLevel="0" collapsed="false">
      <c r="A736" s="16"/>
      <c r="B736" s="8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row>
    <row r="737" customFormat="false" ht="15.75" hidden="false" customHeight="false" outlineLevel="0" collapsed="false">
      <c r="A737" s="16"/>
      <c r="B737" s="8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row>
    <row r="738" customFormat="false" ht="15.75" hidden="false" customHeight="false" outlineLevel="0" collapsed="false">
      <c r="A738" s="16"/>
      <c r="B738" s="8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row>
    <row r="739" customFormat="false" ht="15.75" hidden="false" customHeight="false" outlineLevel="0" collapsed="false">
      <c r="A739" s="16"/>
      <c r="B739" s="8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row>
    <row r="740" customFormat="false" ht="15.75" hidden="false" customHeight="false" outlineLevel="0" collapsed="false">
      <c r="A740" s="16"/>
      <c r="B740" s="8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row>
    <row r="741" customFormat="false" ht="15.75" hidden="false" customHeight="false" outlineLevel="0" collapsed="false">
      <c r="A741" s="16"/>
      <c r="B741" s="8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row>
    <row r="742" customFormat="false" ht="15.75" hidden="false" customHeight="false" outlineLevel="0" collapsed="false">
      <c r="A742" s="16"/>
      <c r="B742" s="8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row>
    <row r="743" customFormat="false" ht="15.75" hidden="false" customHeight="false" outlineLevel="0" collapsed="false">
      <c r="A743" s="16"/>
      <c r="B743" s="8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row>
    <row r="744" customFormat="false" ht="15.75" hidden="false" customHeight="false" outlineLevel="0" collapsed="false">
      <c r="A744" s="16"/>
      <c r="B744" s="8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row>
    <row r="745" customFormat="false" ht="15.75" hidden="false" customHeight="false" outlineLevel="0" collapsed="false">
      <c r="A745" s="16"/>
      <c r="B745" s="8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row>
    <row r="746" customFormat="false" ht="15.75" hidden="false" customHeight="false" outlineLevel="0" collapsed="false">
      <c r="A746" s="16"/>
      <c r="B746" s="8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row>
    <row r="747" customFormat="false" ht="15.75" hidden="false" customHeight="false" outlineLevel="0" collapsed="false">
      <c r="A747" s="16"/>
      <c r="B747" s="8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row>
    <row r="748" customFormat="false" ht="15.75" hidden="false" customHeight="false" outlineLevel="0" collapsed="false">
      <c r="A748" s="16"/>
      <c r="B748" s="8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row>
    <row r="749" customFormat="false" ht="15.75" hidden="false" customHeight="false" outlineLevel="0" collapsed="false">
      <c r="A749" s="16"/>
      <c r="B749" s="8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row>
    <row r="750" customFormat="false" ht="15.75" hidden="false" customHeight="false" outlineLevel="0" collapsed="false">
      <c r="A750" s="16"/>
      <c r="B750" s="8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row>
    <row r="751" customFormat="false" ht="15.75" hidden="false" customHeight="false" outlineLevel="0" collapsed="false">
      <c r="A751" s="16"/>
      <c r="B751" s="8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row>
    <row r="752" customFormat="false" ht="15.75" hidden="false" customHeight="false" outlineLevel="0" collapsed="false">
      <c r="A752" s="16"/>
      <c r="B752" s="8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row>
    <row r="753" customFormat="false" ht="15.75" hidden="false" customHeight="false" outlineLevel="0" collapsed="false">
      <c r="A753" s="16"/>
      <c r="B753" s="8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row>
    <row r="754" customFormat="false" ht="15.75" hidden="false" customHeight="false" outlineLevel="0" collapsed="false">
      <c r="A754" s="16"/>
      <c r="B754" s="8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row>
    <row r="755" customFormat="false" ht="15.75" hidden="false" customHeight="false" outlineLevel="0" collapsed="false">
      <c r="A755" s="16"/>
      <c r="B755" s="8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row>
    <row r="756" customFormat="false" ht="15.75" hidden="false" customHeight="false" outlineLevel="0" collapsed="false">
      <c r="A756" s="16"/>
      <c r="B756" s="8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row>
    <row r="757" customFormat="false" ht="15.75" hidden="false" customHeight="false" outlineLevel="0" collapsed="false">
      <c r="A757" s="16"/>
      <c r="B757" s="8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row>
    <row r="758" customFormat="false" ht="15.75" hidden="false" customHeight="false" outlineLevel="0" collapsed="false">
      <c r="A758" s="16"/>
      <c r="B758" s="8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row>
    <row r="759" customFormat="false" ht="15.75" hidden="false" customHeight="false" outlineLevel="0" collapsed="false">
      <c r="A759" s="16"/>
      <c r="B759" s="8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row>
    <row r="760" customFormat="false" ht="15.75" hidden="false" customHeight="false" outlineLevel="0" collapsed="false">
      <c r="A760" s="16"/>
      <c r="B760" s="8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row>
    <row r="761" customFormat="false" ht="15.75" hidden="false" customHeight="false" outlineLevel="0" collapsed="false">
      <c r="A761" s="16"/>
      <c r="B761" s="8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row>
    <row r="762" customFormat="false" ht="15.75" hidden="false" customHeight="false" outlineLevel="0" collapsed="false">
      <c r="A762" s="16"/>
      <c r="B762" s="8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row>
    <row r="763" customFormat="false" ht="15.75" hidden="false" customHeight="false" outlineLevel="0" collapsed="false">
      <c r="A763" s="16"/>
      <c r="B763" s="8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row>
    <row r="764" customFormat="false" ht="15.75" hidden="false" customHeight="false" outlineLevel="0" collapsed="false">
      <c r="A764" s="16"/>
      <c r="B764" s="8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row>
    <row r="765" customFormat="false" ht="15.75" hidden="false" customHeight="false" outlineLevel="0" collapsed="false">
      <c r="A765" s="16"/>
      <c r="B765" s="8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row>
    <row r="766" customFormat="false" ht="15.75" hidden="false" customHeight="false" outlineLevel="0" collapsed="false">
      <c r="A766" s="16"/>
      <c r="B766" s="8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row>
    <row r="767" customFormat="false" ht="15.75" hidden="false" customHeight="false" outlineLevel="0" collapsed="false">
      <c r="A767" s="16"/>
      <c r="B767" s="8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row>
    <row r="768" customFormat="false" ht="15.75" hidden="false" customHeight="false" outlineLevel="0" collapsed="false">
      <c r="A768" s="16"/>
      <c r="B768" s="8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row>
    <row r="769" customFormat="false" ht="15.75" hidden="false" customHeight="false" outlineLevel="0" collapsed="false">
      <c r="A769" s="16"/>
      <c r="B769" s="8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row>
    <row r="770" customFormat="false" ht="15.75" hidden="false" customHeight="false" outlineLevel="0" collapsed="false">
      <c r="A770" s="16"/>
      <c r="B770" s="8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row>
    <row r="771" customFormat="false" ht="15.75" hidden="false" customHeight="false" outlineLevel="0" collapsed="false">
      <c r="A771" s="16"/>
      <c r="B771" s="8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row>
    <row r="772" customFormat="false" ht="15.75" hidden="false" customHeight="false" outlineLevel="0" collapsed="false">
      <c r="A772" s="16"/>
      <c r="B772" s="8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row>
    <row r="773" customFormat="false" ht="15.75" hidden="false" customHeight="false" outlineLevel="0" collapsed="false">
      <c r="A773" s="16"/>
      <c r="B773" s="8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row>
    <row r="774" customFormat="false" ht="15.75" hidden="false" customHeight="false" outlineLevel="0" collapsed="false">
      <c r="A774" s="16"/>
      <c r="B774" s="8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row>
    <row r="775" customFormat="false" ht="15.75" hidden="false" customHeight="false" outlineLevel="0" collapsed="false">
      <c r="A775" s="16"/>
      <c r="B775" s="8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row>
    <row r="776" customFormat="false" ht="15.75" hidden="false" customHeight="false" outlineLevel="0" collapsed="false">
      <c r="A776" s="16"/>
      <c r="B776" s="8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row>
    <row r="777" customFormat="false" ht="15.75" hidden="false" customHeight="false" outlineLevel="0" collapsed="false">
      <c r="A777" s="16"/>
      <c r="B777" s="8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row>
    <row r="778" customFormat="false" ht="15.75" hidden="false" customHeight="false" outlineLevel="0" collapsed="false">
      <c r="A778" s="16"/>
      <c r="B778" s="8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row>
    <row r="779" customFormat="false" ht="15.75" hidden="false" customHeight="false" outlineLevel="0" collapsed="false">
      <c r="A779" s="16"/>
      <c r="B779" s="8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row>
    <row r="780" customFormat="false" ht="15.75" hidden="false" customHeight="false" outlineLevel="0" collapsed="false">
      <c r="A780" s="16"/>
      <c r="B780" s="8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row>
    <row r="781" customFormat="false" ht="15.75" hidden="false" customHeight="false" outlineLevel="0" collapsed="false">
      <c r="A781" s="16"/>
      <c r="B781" s="8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row>
    <row r="782" customFormat="false" ht="15.75" hidden="false" customHeight="false" outlineLevel="0" collapsed="false">
      <c r="A782" s="16"/>
      <c r="B782" s="8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row>
    <row r="783" customFormat="false" ht="15.75" hidden="false" customHeight="false" outlineLevel="0" collapsed="false">
      <c r="A783" s="16"/>
      <c r="B783" s="8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row>
    <row r="784" customFormat="false" ht="15.75" hidden="false" customHeight="false" outlineLevel="0" collapsed="false">
      <c r="A784" s="16"/>
      <c r="B784" s="8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row>
    <row r="785" customFormat="false" ht="15.75" hidden="false" customHeight="false" outlineLevel="0" collapsed="false">
      <c r="A785" s="16"/>
      <c r="B785" s="8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row>
    <row r="786" customFormat="false" ht="15.75" hidden="false" customHeight="false" outlineLevel="0" collapsed="false">
      <c r="A786" s="16"/>
      <c r="B786" s="8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row>
    <row r="787" customFormat="false" ht="15.75" hidden="false" customHeight="false" outlineLevel="0" collapsed="false">
      <c r="A787" s="16"/>
      <c r="B787" s="8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row>
    <row r="788" customFormat="false" ht="15.75" hidden="false" customHeight="false" outlineLevel="0" collapsed="false">
      <c r="A788" s="16"/>
      <c r="B788" s="8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row>
    <row r="789" customFormat="false" ht="15.75" hidden="false" customHeight="false" outlineLevel="0" collapsed="false">
      <c r="A789" s="16"/>
      <c r="B789" s="8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row>
    <row r="790" customFormat="false" ht="15.75" hidden="false" customHeight="false" outlineLevel="0" collapsed="false">
      <c r="A790" s="16"/>
      <c r="B790" s="8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row>
    <row r="791" customFormat="false" ht="15.75" hidden="false" customHeight="false" outlineLevel="0" collapsed="false">
      <c r="A791" s="16"/>
      <c r="B791" s="8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row>
    <row r="792" customFormat="false" ht="15.75" hidden="false" customHeight="false" outlineLevel="0" collapsed="false">
      <c r="A792" s="16"/>
      <c r="B792" s="8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row>
    <row r="793" customFormat="false" ht="15.75" hidden="false" customHeight="false" outlineLevel="0" collapsed="false">
      <c r="A793" s="16"/>
      <c r="B793" s="8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row>
    <row r="794" customFormat="false" ht="15.75" hidden="false" customHeight="false" outlineLevel="0" collapsed="false">
      <c r="A794" s="16"/>
      <c r="B794" s="8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row>
    <row r="795" customFormat="false" ht="15.75" hidden="false" customHeight="false" outlineLevel="0" collapsed="false">
      <c r="A795" s="16"/>
      <c r="B795" s="8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row>
    <row r="796" customFormat="false" ht="15.75" hidden="false" customHeight="false" outlineLevel="0" collapsed="false">
      <c r="A796" s="16"/>
      <c r="B796" s="8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row>
    <row r="797" customFormat="false" ht="15.75" hidden="false" customHeight="false" outlineLevel="0" collapsed="false">
      <c r="A797" s="16"/>
      <c r="B797" s="8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row>
    <row r="798" customFormat="false" ht="15.75" hidden="false" customHeight="false" outlineLevel="0" collapsed="false">
      <c r="A798" s="16"/>
      <c r="B798" s="8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row>
    <row r="799" customFormat="false" ht="15.75" hidden="false" customHeight="false" outlineLevel="0" collapsed="false">
      <c r="A799" s="16"/>
      <c r="B799" s="8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row>
    <row r="800" customFormat="false" ht="15.75" hidden="false" customHeight="false" outlineLevel="0" collapsed="false">
      <c r="A800" s="16"/>
      <c r="B800" s="8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row>
    <row r="801" customFormat="false" ht="15.75" hidden="false" customHeight="false" outlineLevel="0" collapsed="false">
      <c r="A801" s="16"/>
      <c r="B801" s="8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row>
    <row r="802" customFormat="false" ht="15.75" hidden="false" customHeight="false" outlineLevel="0" collapsed="false">
      <c r="A802" s="16"/>
      <c r="B802" s="8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row>
    <row r="803" customFormat="false" ht="15.75" hidden="false" customHeight="false" outlineLevel="0" collapsed="false">
      <c r="A803" s="16"/>
      <c r="B803" s="8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row>
    <row r="804" customFormat="false" ht="15.75" hidden="false" customHeight="false" outlineLevel="0" collapsed="false">
      <c r="A804" s="16"/>
      <c r="B804" s="8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row>
    <row r="805" customFormat="false" ht="15.75" hidden="false" customHeight="false" outlineLevel="0" collapsed="false">
      <c r="A805" s="16"/>
      <c r="B805" s="8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row>
    <row r="806" customFormat="false" ht="15.75" hidden="false" customHeight="false" outlineLevel="0" collapsed="false">
      <c r="A806" s="16"/>
      <c r="B806" s="8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row>
    <row r="807" customFormat="false" ht="15.75" hidden="false" customHeight="false" outlineLevel="0" collapsed="false">
      <c r="A807" s="16"/>
      <c r="B807" s="8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row>
    <row r="808" customFormat="false" ht="15.75" hidden="false" customHeight="false" outlineLevel="0" collapsed="false">
      <c r="A808" s="16"/>
      <c r="B808" s="8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row>
    <row r="809" customFormat="false" ht="15.75" hidden="false" customHeight="false" outlineLevel="0" collapsed="false">
      <c r="A809" s="16"/>
      <c r="B809" s="8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row>
    <row r="810" customFormat="false" ht="15.75" hidden="false" customHeight="false" outlineLevel="0" collapsed="false">
      <c r="A810" s="16"/>
      <c r="B810" s="8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row>
    <row r="811" customFormat="false" ht="15.75" hidden="false" customHeight="false" outlineLevel="0" collapsed="false">
      <c r="A811" s="16"/>
      <c r="B811" s="8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row>
    <row r="812" customFormat="false" ht="15.75" hidden="false" customHeight="false" outlineLevel="0" collapsed="false">
      <c r="A812" s="16"/>
      <c r="B812" s="8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row>
    <row r="813" customFormat="false" ht="15.75" hidden="false" customHeight="false" outlineLevel="0" collapsed="false">
      <c r="A813" s="16"/>
      <c r="B813" s="8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row>
    <row r="814" customFormat="false" ht="15.75" hidden="false" customHeight="false" outlineLevel="0" collapsed="false">
      <c r="A814" s="16"/>
      <c r="B814" s="8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row>
    <row r="815" customFormat="false" ht="15.75" hidden="false" customHeight="false" outlineLevel="0" collapsed="false">
      <c r="A815" s="16"/>
      <c r="B815" s="8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row>
    <row r="816" customFormat="false" ht="15.75" hidden="false" customHeight="false" outlineLevel="0" collapsed="false">
      <c r="A816" s="16"/>
      <c r="B816" s="8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row>
    <row r="817" customFormat="false" ht="15.75" hidden="false" customHeight="false" outlineLevel="0" collapsed="false">
      <c r="A817" s="16"/>
      <c r="B817" s="8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row>
    <row r="818" customFormat="false" ht="15.75" hidden="false" customHeight="false" outlineLevel="0" collapsed="false">
      <c r="A818" s="16"/>
      <c r="B818" s="8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row>
    <row r="819" customFormat="false" ht="15.75" hidden="false" customHeight="false" outlineLevel="0" collapsed="false">
      <c r="A819" s="16"/>
      <c r="B819" s="8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row>
    <row r="820" customFormat="false" ht="15.75" hidden="false" customHeight="false" outlineLevel="0" collapsed="false">
      <c r="A820" s="16"/>
      <c r="B820" s="8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row>
    <row r="821" customFormat="false" ht="15.75" hidden="false" customHeight="false" outlineLevel="0" collapsed="false">
      <c r="A821" s="16"/>
      <c r="B821" s="8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row>
    <row r="822" customFormat="false" ht="15.75" hidden="false" customHeight="false" outlineLevel="0" collapsed="false">
      <c r="A822" s="16"/>
      <c r="B822" s="8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row>
    <row r="823" customFormat="false" ht="15.75" hidden="false" customHeight="false" outlineLevel="0" collapsed="false">
      <c r="A823" s="16"/>
      <c r="B823" s="8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row>
    <row r="824" customFormat="false" ht="15.75" hidden="false" customHeight="false" outlineLevel="0" collapsed="false">
      <c r="A824" s="16"/>
      <c r="B824" s="8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row>
    <row r="825" customFormat="false" ht="15.75" hidden="false" customHeight="false" outlineLevel="0" collapsed="false">
      <c r="A825" s="16"/>
      <c r="B825" s="8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row>
    <row r="826" customFormat="false" ht="15.75" hidden="false" customHeight="false" outlineLevel="0" collapsed="false">
      <c r="A826" s="16"/>
      <c r="B826" s="8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row>
    <row r="827" customFormat="false" ht="15.75" hidden="false" customHeight="false" outlineLevel="0" collapsed="false">
      <c r="A827" s="16"/>
      <c r="B827" s="8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row>
    <row r="828" customFormat="false" ht="15.75" hidden="false" customHeight="false" outlineLevel="0" collapsed="false">
      <c r="A828" s="16"/>
      <c r="B828" s="8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row>
    <row r="829" customFormat="false" ht="15.75" hidden="false" customHeight="false" outlineLevel="0" collapsed="false">
      <c r="A829" s="16"/>
      <c r="B829" s="8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row>
    <row r="830" customFormat="false" ht="15.75" hidden="false" customHeight="false" outlineLevel="0" collapsed="false">
      <c r="A830" s="16"/>
      <c r="B830" s="8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row>
    <row r="831" customFormat="false" ht="15.75" hidden="false" customHeight="false" outlineLevel="0" collapsed="false">
      <c r="A831" s="16"/>
      <c r="B831" s="8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row>
    <row r="832" customFormat="false" ht="15.75" hidden="false" customHeight="false" outlineLevel="0" collapsed="false">
      <c r="A832" s="16"/>
      <c r="B832" s="8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row>
    <row r="833" customFormat="false" ht="15.75" hidden="false" customHeight="false" outlineLevel="0" collapsed="false">
      <c r="A833" s="16"/>
      <c r="B833" s="8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row>
    <row r="834" customFormat="false" ht="15.75" hidden="false" customHeight="false" outlineLevel="0" collapsed="false">
      <c r="A834" s="16"/>
      <c r="B834" s="8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row>
    <row r="835" customFormat="false" ht="15.75" hidden="false" customHeight="false" outlineLevel="0" collapsed="false">
      <c r="A835" s="16"/>
      <c r="B835" s="8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row>
    <row r="836" customFormat="false" ht="15.75" hidden="false" customHeight="false" outlineLevel="0" collapsed="false">
      <c r="A836" s="16"/>
      <c r="B836" s="8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row>
    <row r="837" customFormat="false" ht="15.75" hidden="false" customHeight="false" outlineLevel="0" collapsed="false">
      <c r="A837" s="16"/>
      <c r="B837" s="8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row>
    <row r="838" customFormat="false" ht="15.75" hidden="false" customHeight="false" outlineLevel="0" collapsed="false">
      <c r="A838" s="16"/>
      <c r="B838" s="8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row>
    <row r="839" customFormat="false" ht="15.75" hidden="false" customHeight="false" outlineLevel="0" collapsed="false">
      <c r="A839" s="16"/>
      <c r="B839" s="8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row>
    <row r="840" customFormat="false" ht="15.75" hidden="false" customHeight="false" outlineLevel="0" collapsed="false">
      <c r="A840" s="16"/>
      <c r="B840" s="8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row>
    <row r="841" customFormat="false" ht="15.75" hidden="false" customHeight="false" outlineLevel="0" collapsed="false">
      <c r="A841" s="16"/>
      <c r="B841" s="8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row>
    <row r="842" customFormat="false" ht="15.75" hidden="false" customHeight="false" outlineLevel="0" collapsed="false">
      <c r="A842" s="16"/>
      <c r="B842" s="8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row>
    <row r="843" customFormat="false" ht="15.75" hidden="false" customHeight="false" outlineLevel="0" collapsed="false">
      <c r="A843" s="16"/>
      <c r="B843" s="8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row>
    <row r="844" customFormat="false" ht="15.75" hidden="false" customHeight="false" outlineLevel="0" collapsed="false">
      <c r="A844" s="16"/>
      <c r="B844" s="8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row>
    <row r="845" customFormat="false" ht="15.75" hidden="false" customHeight="false" outlineLevel="0" collapsed="false">
      <c r="A845" s="16"/>
      <c r="B845" s="8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row>
    <row r="846" customFormat="false" ht="15.75" hidden="false" customHeight="false" outlineLevel="0" collapsed="false">
      <c r="A846" s="16"/>
      <c r="B846" s="8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row>
    <row r="847" customFormat="false" ht="15.75" hidden="false" customHeight="false" outlineLevel="0" collapsed="false">
      <c r="A847" s="16"/>
      <c r="B847" s="8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row>
    <row r="848" customFormat="false" ht="15.75" hidden="false" customHeight="false" outlineLevel="0" collapsed="false">
      <c r="A848" s="16"/>
      <c r="B848" s="8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row>
    <row r="849" customFormat="false" ht="15.75" hidden="false" customHeight="false" outlineLevel="0" collapsed="false">
      <c r="A849" s="16"/>
      <c r="B849" s="8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row>
    <row r="850" customFormat="false" ht="15.75" hidden="false" customHeight="false" outlineLevel="0" collapsed="false">
      <c r="A850" s="16"/>
      <c r="B850" s="8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row>
    <row r="851" customFormat="false" ht="15.75" hidden="false" customHeight="false" outlineLevel="0" collapsed="false">
      <c r="A851" s="16"/>
      <c r="B851" s="8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row>
    <row r="852" customFormat="false" ht="15.75" hidden="false" customHeight="false" outlineLevel="0" collapsed="false">
      <c r="A852" s="16"/>
      <c r="B852" s="8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row>
    <row r="853" customFormat="false" ht="15.75" hidden="false" customHeight="false" outlineLevel="0" collapsed="false">
      <c r="A853" s="16"/>
      <c r="B853" s="8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row>
    <row r="854" customFormat="false" ht="15.75" hidden="false" customHeight="false" outlineLevel="0" collapsed="false">
      <c r="A854" s="16"/>
      <c r="B854" s="8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row>
    <row r="855" customFormat="false" ht="15.75" hidden="false" customHeight="false" outlineLevel="0" collapsed="false">
      <c r="A855" s="16"/>
      <c r="B855" s="8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row>
    <row r="856" customFormat="false" ht="15.75" hidden="false" customHeight="false" outlineLevel="0" collapsed="false">
      <c r="A856" s="16"/>
      <c r="B856" s="8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row>
    <row r="857" customFormat="false" ht="15.75" hidden="false" customHeight="false" outlineLevel="0" collapsed="false">
      <c r="A857" s="16"/>
      <c r="B857" s="8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row>
    <row r="858" customFormat="false" ht="15.75" hidden="false" customHeight="false" outlineLevel="0" collapsed="false">
      <c r="A858" s="16"/>
      <c r="B858" s="8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row>
    <row r="859" customFormat="false" ht="15.75" hidden="false" customHeight="false" outlineLevel="0" collapsed="false">
      <c r="A859" s="16"/>
      <c r="B859" s="8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row>
    <row r="860" customFormat="false" ht="15.75" hidden="false" customHeight="false" outlineLevel="0" collapsed="false">
      <c r="A860" s="16"/>
      <c r="B860" s="8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row>
    <row r="861" customFormat="false" ht="15.75" hidden="false" customHeight="false" outlineLevel="0" collapsed="false">
      <c r="A861" s="16"/>
      <c r="B861" s="8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row>
    <row r="862" customFormat="false" ht="15.75" hidden="false" customHeight="false" outlineLevel="0" collapsed="false">
      <c r="A862" s="16"/>
      <c r="B862" s="8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row>
    <row r="863" customFormat="false" ht="15.75" hidden="false" customHeight="false" outlineLevel="0" collapsed="false">
      <c r="A863" s="16"/>
      <c r="B863" s="8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row>
    <row r="864" customFormat="false" ht="15.75" hidden="false" customHeight="false" outlineLevel="0" collapsed="false">
      <c r="A864" s="16"/>
      <c r="B864" s="8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row>
    <row r="865" customFormat="false" ht="15.75" hidden="false" customHeight="false" outlineLevel="0" collapsed="false">
      <c r="A865" s="16"/>
      <c r="B865" s="8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row>
    <row r="866" customFormat="false" ht="15.75" hidden="false" customHeight="false" outlineLevel="0" collapsed="false">
      <c r="A866" s="16"/>
      <c r="B866" s="8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row>
    <row r="867" customFormat="false" ht="15.75" hidden="false" customHeight="false" outlineLevel="0" collapsed="false">
      <c r="A867" s="16"/>
      <c r="B867" s="8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row>
    <row r="868" customFormat="false" ht="15.75" hidden="false" customHeight="false" outlineLevel="0" collapsed="false">
      <c r="A868" s="16"/>
      <c r="B868" s="8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row>
    <row r="869" customFormat="false" ht="15.75" hidden="false" customHeight="false" outlineLevel="0" collapsed="false">
      <c r="A869" s="16"/>
      <c r="B869" s="8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row>
    <row r="870" customFormat="false" ht="15.75" hidden="false" customHeight="false" outlineLevel="0" collapsed="false">
      <c r="A870" s="16"/>
      <c r="B870" s="8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row>
    <row r="871" customFormat="false" ht="15.75" hidden="false" customHeight="false" outlineLevel="0" collapsed="false">
      <c r="A871" s="16"/>
      <c r="B871" s="8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row>
    <row r="872" customFormat="false" ht="15.75" hidden="false" customHeight="false" outlineLevel="0" collapsed="false">
      <c r="A872" s="16"/>
      <c r="B872" s="8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row>
    <row r="873" customFormat="false" ht="15.75" hidden="false" customHeight="false" outlineLevel="0" collapsed="false">
      <c r="A873" s="16"/>
      <c r="B873" s="8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row>
    <row r="874" customFormat="false" ht="15.75" hidden="false" customHeight="false" outlineLevel="0" collapsed="false">
      <c r="A874" s="16"/>
      <c r="B874" s="8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row>
    <row r="875" customFormat="false" ht="15.75" hidden="false" customHeight="false" outlineLevel="0" collapsed="false">
      <c r="A875" s="16"/>
      <c r="B875" s="8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row>
    <row r="876" customFormat="false" ht="15.75" hidden="false" customHeight="false" outlineLevel="0" collapsed="false">
      <c r="A876" s="16"/>
      <c r="B876" s="8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row>
    <row r="877" customFormat="false" ht="15.75" hidden="false" customHeight="false" outlineLevel="0" collapsed="false">
      <c r="A877" s="16"/>
      <c r="B877" s="8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row>
    <row r="878" customFormat="false" ht="15.75" hidden="false" customHeight="false" outlineLevel="0" collapsed="false">
      <c r="A878" s="16"/>
      <c r="B878" s="8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row>
    <row r="879" customFormat="false" ht="15.75" hidden="false" customHeight="false" outlineLevel="0" collapsed="false">
      <c r="A879" s="16"/>
      <c r="B879" s="8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row>
    <row r="880" customFormat="false" ht="15.75" hidden="false" customHeight="false" outlineLevel="0" collapsed="false">
      <c r="A880" s="16"/>
      <c r="B880" s="8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row>
    <row r="881" customFormat="false" ht="15.75" hidden="false" customHeight="false" outlineLevel="0" collapsed="false">
      <c r="A881" s="16"/>
      <c r="B881" s="8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row>
    <row r="882" customFormat="false" ht="15.75" hidden="false" customHeight="false" outlineLevel="0" collapsed="false">
      <c r="A882" s="16"/>
      <c r="B882" s="8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row>
    <row r="883" customFormat="false" ht="15.75" hidden="false" customHeight="false" outlineLevel="0" collapsed="false">
      <c r="A883" s="16"/>
      <c r="B883" s="8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row>
    <row r="884" customFormat="false" ht="15.75" hidden="false" customHeight="false" outlineLevel="0" collapsed="false">
      <c r="A884" s="16"/>
      <c r="B884" s="8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row>
    <row r="885" customFormat="false" ht="15.75" hidden="false" customHeight="false" outlineLevel="0" collapsed="false">
      <c r="A885" s="16"/>
      <c r="B885" s="8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row>
    <row r="886" customFormat="false" ht="15.75" hidden="false" customHeight="false" outlineLevel="0" collapsed="false">
      <c r="A886" s="16"/>
      <c r="B886" s="8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row>
    <row r="887" customFormat="false" ht="15.75" hidden="false" customHeight="false" outlineLevel="0" collapsed="false">
      <c r="A887" s="16"/>
      <c r="B887" s="8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row>
    <row r="888" customFormat="false" ht="15.75" hidden="false" customHeight="false" outlineLevel="0" collapsed="false">
      <c r="A888" s="16"/>
      <c r="B888" s="8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row>
    <row r="889" customFormat="false" ht="15.75" hidden="false" customHeight="false" outlineLevel="0" collapsed="false">
      <c r="A889" s="16"/>
      <c r="B889" s="8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row>
    <row r="890" customFormat="false" ht="15.75" hidden="false" customHeight="false" outlineLevel="0" collapsed="false">
      <c r="A890" s="16"/>
      <c r="B890" s="8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row>
    <row r="891" customFormat="false" ht="15.75" hidden="false" customHeight="false" outlineLevel="0" collapsed="false">
      <c r="A891" s="16"/>
      <c r="B891" s="8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row>
    <row r="892" customFormat="false" ht="15.75" hidden="false" customHeight="false" outlineLevel="0" collapsed="false">
      <c r="A892" s="16"/>
      <c r="B892" s="8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row>
    <row r="893" customFormat="false" ht="15.75" hidden="false" customHeight="false" outlineLevel="0" collapsed="false">
      <c r="A893" s="16"/>
      <c r="B893" s="8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row>
    <row r="894" customFormat="false" ht="15.75" hidden="false" customHeight="false" outlineLevel="0" collapsed="false">
      <c r="A894" s="16"/>
      <c r="B894" s="8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row>
    <row r="895" customFormat="false" ht="15.75" hidden="false" customHeight="false" outlineLevel="0" collapsed="false">
      <c r="A895" s="16"/>
      <c r="B895" s="8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row>
    <row r="896" customFormat="false" ht="15.75" hidden="false" customHeight="false" outlineLevel="0" collapsed="false">
      <c r="A896" s="16"/>
      <c r="B896" s="8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row>
    <row r="897" customFormat="false" ht="15.75" hidden="false" customHeight="false" outlineLevel="0" collapsed="false">
      <c r="A897" s="16"/>
      <c r="B897" s="8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row>
    <row r="898" customFormat="false" ht="15.75" hidden="false" customHeight="false" outlineLevel="0" collapsed="false">
      <c r="A898" s="16"/>
      <c r="B898" s="8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row>
    <row r="899" customFormat="false" ht="15.75" hidden="false" customHeight="false" outlineLevel="0" collapsed="false">
      <c r="A899" s="16"/>
      <c r="B899" s="8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row>
    <row r="900" customFormat="false" ht="15.75" hidden="false" customHeight="false" outlineLevel="0" collapsed="false">
      <c r="A900" s="16"/>
      <c r="B900" s="8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row>
    <row r="901" customFormat="false" ht="15.75" hidden="false" customHeight="false" outlineLevel="0" collapsed="false">
      <c r="A901" s="16"/>
      <c r="B901" s="8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row>
    <row r="902" customFormat="false" ht="15.75" hidden="false" customHeight="false" outlineLevel="0" collapsed="false">
      <c r="A902" s="16"/>
      <c r="B902" s="8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row>
    <row r="903" customFormat="false" ht="15.75" hidden="false" customHeight="false" outlineLevel="0" collapsed="false">
      <c r="A903" s="16"/>
      <c r="B903" s="8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row>
    <row r="904" customFormat="false" ht="15.75" hidden="false" customHeight="false" outlineLevel="0" collapsed="false">
      <c r="A904" s="16"/>
      <c r="B904" s="8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row>
    <row r="905" customFormat="false" ht="15.75" hidden="false" customHeight="false" outlineLevel="0" collapsed="false">
      <c r="A905" s="16"/>
      <c r="B905" s="8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row>
    <row r="906" customFormat="false" ht="15.75" hidden="false" customHeight="false" outlineLevel="0" collapsed="false">
      <c r="A906" s="16"/>
      <c r="B906" s="8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row>
    <row r="907" customFormat="false" ht="15.75" hidden="false" customHeight="false" outlineLevel="0" collapsed="false">
      <c r="A907" s="16"/>
      <c r="B907" s="8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row>
    <row r="908" customFormat="false" ht="15.75" hidden="false" customHeight="false" outlineLevel="0" collapsed="false">
      <c r="A908" s="16"/>
      <c r="B908" s="8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row>
    <row r="909" customFormat="false" ht="15.75" hidden="false" customHeight="false" outlineLevel="0" collapsed="false">
      <c r="A909" s="16"/>
      <c r="B909" s="8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row>
    <row r="910" customFormat="false" ht="15.75" hidden="false" customHeight="false" outlineLevel="0" collapsed="false">
      <c r="A910" s="16"/>
      <c r="B910" s="8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row>
    <row r="911" customFormat="false" ht="15.75" hidden="false" customHeight="false" outlineLevel="0" collapsed="false">
      <c r="A911" s="16"/>
      <c r="B911" s="8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row>
    <row r="912" customFormat="false" ht="15.75" hidden="false" customHeight="false" outlineLevel="0" collapsed="false">
      <c r="A912" s="16"/>
      <c r="B912" s="8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row>
    <row r="913" customFormat="false" ht="15.75" hidden="false" customHeight="false" outlineLevel="0" collapsed="false">
      <c r="A913" s="16"/>
      <c r="B913" s="8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row>
    <row r="914" customFormat="false" ht="15.75" hidden="false" customHeight="false" outlineLevel="0" collapsed="false">
      <c r="A914" s="16"/>
      <c r="B914" s="8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row>
    <row r="915" customFormat="false" ht="15.75" hidden="false" customHeight="false" outlineLevel="0" collapsed="false">
      <c r="A915" s="16"/>
      <c r="B915" s="8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row>
    <row r="916" customFormat="false" ht="15.75" hidden="false" customHeight="false" outlineLevel="0" collapsed="false">
      <c r="A916" s="16"/>
      <c r="B916" s="8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row>
    <row r="917" customFormat="false" ht="15.75" hidden="false" customHeight="false" outlineLevel="0" collapsed="false">
      <c r="A917" s="16"/>
      <c r="B917" s="8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row>
    <row r="918" customFormat="false" ht="15.75" hidden="false" customHeight="false" outlineLevel="0" collapsed="false">
      <c r="A918" s="16"/>
      <c r="B918" s="8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row>
    <row r="919" customFormat="false" ht="15.75" hidden="false" customHeight="false" outlineLevel="0" collapsed="false">
      <c r="A919" s="16"/>
      <c r="B919" s="8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row>
    <row r="920" customFormat="false" ht="15.75" hidden="false" customHeight="false" outlineLevel="0" collapsed="false">
      <c r="A920" s="16"/>
      <c r="B920" s="8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row>
    <row r="921" customFormat="false" ht="15.75" hidden="false" customHeight="false" outlineLevel="0" collapsed="false">
      <c r="A921" s="16"/>
      <c r="B921" s="8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row>
    <row r="922" customFormat="false" ht="15.75" hidden="false" customHeight="false" outlineLevel="0" collapsed="false">
      <c r="A922" s="16"/>
      <c r="B922" s="8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row>
    <row r="923" customFormat="false" ht="15.75" hidden="false" customHeight="false" outlineLevel="0" collapsed="false">
      <c r="A923" s="16"/>
      <c r="B923" s="8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row>
    <row r="924" customFormat="false" ht="15.75" hidden="false" customHeight="false" outlineLevel="0" collapsed="false">
      <c r="A924" s="16"/>
      <c r="B924" s="8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row>
    <row r="925" customFormat="false" ht="15.75" hidden="false" customHeight="false" outlineLevel="0" collapsed="false">
      <c r="A925" s="16"/>
      <c r="B925" s="8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row>
    <row r="926" customFormat="false" ht="15.75" hidden="false" customHeight="false" outlineLevel="0" collapsed="false">
      <c r="A926" s="16"/>
      <c r="B926" s="8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row>
    <row r="927" customFormat="false" ht="15.75" hidden="false" customHeight="false" outlineLevel="0" collapsed="false">
      <c r="A927" s="16"/>
      <c r="B927" s="8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row>
    <row r="928" customFormat="false" ht="15.75" hidden="false" customHeight="false" outlineLevel="0" collapsed="false">
      <c r="A928" s="16"/>
      <c r="B928" s="8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row>
    <row r="929" customFormat="false" ht="15.75" hidden="false" customHeight="false" outlineLevel="0" collapsed="false">
      <c r="A929" s="16"/>
      <c r="B929" s="8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row>
    <row r="930" customFormat="false" ht="15.75" hidden="false" customHeight="false" outlineLevel="0" collapsed="false">
      <c r="A930" s="16"/>
      <c r="B930" s="8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row>
    <row r="931" customFormat="false" ht="15.75" hidden="false" customHeight="false" outlineLevel="0" collapsed="false">
      <c r="A931" s="16"/>
      <c r="B931" s="8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row>
    <row r="932" customFormat="false" ht="15.75" hidden="false" customHeight="false" outlineLevel="0" collapsed="false">
      <c r="A932" s="16"/>
      <c r="B932" s="8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row>
    <row r="933" customFormat="false" ht="15.75" hidden="false" customHeight="false" outlineLevel="0" collapsed="false">
      <c r="A933" s="16"/>
      <c r="B933" s="8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row>
    <row r="934" customFormat="false" ht="15.75" hidden="false" customHeight="false" outlineLevel="0" collapsed="false">
      <c r="A934" s="16"/>
      <c r="B934" s="8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row>
    <row r="935" customFormat="false" ht="15.75" hidden="false" customHeight="false" outlineLevel="0" collapsed="false">
      <c r="A935" s="16"/>
      <c r="B935" s="8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row>
    <row r="936" customFormat="false" ht="15.75" hidden="false" customHeight="false" outlineLevel="0" collapsed="false">
      <c r="A936" s="16"/>
      <c r="B936" s="8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row>
    <row r="937" customFormat="false" ht="15.75" hidden="false" customHeight="false" outlineLevel="0" collapsed="false">
      <c r="A937" s="16"/>
      <c r="B937" s="8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row>
    <row r="938" customFormat="false" ht="15.75" hidden="false" customHeight="false" outlineLevel="0" collapsed="false">
      <c r="A938" s="16"/>
      <c r="B938" s="8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row>
    <row r="939" customFormat="false" ht="15.75" hidden="false" customHeight="false" outlineLevel="0" collapsed="false">
      <c r="A939" s="16"/>
      <c r="B939" s="8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row>
    <row r="940" customFormat="false" ht="15.75" hidden="false" customHeight="false" outlineLevel="0" collapsed="false">
      <c r="A940" s="16"/>
      <c r="B940" s="8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row>
    <row r="941" customFormat="false" ht="15.75" hidden="false" customHeight="false" outlineLevel="0" collapsed="false">
      <c r="A941" s="16"/>
      <c r="B941" s="8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row>
    <row r="942" customFormat="false" ht="15.75" hidden="false" customHeight="false" outlineLevel="0" collapsed="false">
      <c r="A942" s="16"/>
      <c r="B942" s="8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row>
    <row r="943" customFormat="false" ht="15.75" hidden="false" customHeight="false" outlineLevel="0" collapsed="false">
      <c r="A943" s="16"/>
      <c r="B943" s="8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row>
    <row r="944" customFormat="false" ht="15.75" hidden="false" customHeight="false" outlineLevel="0" collapsed="false">
      <c r="A944" s="16"/>
      <c r="B944" s="8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row>
    <row r="945" customFormat="false" ht="15.75" hidden="false" customHeight="false" outlineLevel="0" collapsed="false">
      <c r="A945" s="16"/>
      <c r="B945" s="8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row>
    <row r="946" customFormat="false" ht="15.75" hidden="false" customHeight="false" outlineLevel="0" collapsed="false">
      <c r="A946" s="16"/>
      <c r="B946" s="8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row>
    <row r="947" customFormat="false" ht="15.75" hidden="false" customHeight="false" outlineLevel="0" collapsed="false">
      <c r="A947" s="16"/>
      <c r="B947" s="8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row>
    <row r="948" customFormat="false" ht="15.75" hidden="false" customHeight="false" outlineLevel="0" collapsed="false">
      <c r="A948" s="16"/>
      <c r="B948" s="8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row>
    <row r="949" customFormat="false" ht="15.75" hidden="false" customHeight="false" outlineLevel="0" collapsed="false">
      <c r="A949" s="16"/>
      <c r="B949" s="8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row>
    <row r="950" customFormat="false" ht="15.75" hidden="false" customHeight="false" outlineLevel="0" collapsed="false">
      <c r="A950" s="16"/>
      <c r="B950" s="8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row>
    <row r="951" customFormat="false" ht="15.75" hidden="false" customHeight="false" outlineLevel="0" collapsed="false">
      <c r="A951" s="16"/>
      <c r="B951" s="8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row>
    <row r="952" customFormat="false" ht="15.75" hidden="false" customHeight="false" outlineLevel="0" collapsed="false">
      <c r="A952" s="16"/>
      <c r="B952" s="8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row>
    <row r="953" customFormat="false" ht="15.75" hidden="false" customHeight="false" outlineLevel="0" collapsed="false">
      <c r="A953" s="16"/>
      <c r="B953" s="8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row>
    <row r="954" customFormat="false" ht="15.75" hidden="false" customHeight="false" outlineLevel="0" collapsed="false">
      <c r="A954" s="16"/>
      <c r="B954" s="8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row>
    <row r="955" customFormat="false" ht="15.75" hidden="false" customHeight="false" outlineLevel="0" collapsed="false">
      <c r="A955" s="16"/>
      <c r="B955" s="8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row>
    <row r="956" customFormat="false" ht="15.75" hidden="false" customHeight="false" outlineLevel="0" collapsed="false">
      <c r="A956" s="16"/>
      <c r="B956" s="8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row>
    <row r="957" customFormat="false" ht="15.75" hidden="false" customHeight="false" outlineLevel="0" collapsed="false">
      <c r="A957" s="16"/>
      <c r="B957" s="8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row>
    <row r="958" customFormat="false" ht="15.75" hidden="false" customHeight="false" outlineLevel="0" collapsed="false">
      <c r="A958" s="16"/>
      <c r="B958" s="8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row>
    <row r="959" customFormat="false" ht="15.75" hidden="false" customHeight="false" outlineLevel="0" collapsed="false">
      <c r="A959" s="16"/>
      <c r="B959" s="8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row>
    <row r="960" customFormat="false" ht="15.75" hidden="false" customHeight="false" outlineLevel="0" collapsed="false">
      <c r="A960" s="16"/>
      <c r="B960" s="8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row>
    <row r="961" customFormat="false" ht="15.75" hidden="false" customHeight="false" outlineLevel="0" collapsed="false">
      <c r="A961" s="16"/>
      <c r="B961" s="8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row>
    <row r="962" customFormat="false" ht="15.75" hidden="false" customHeight="false" outlineLevel="0" collapsed="false">
      <c r="A962" s="16"/>
      <c r="B962" s="8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row>
    <row r="963" customFormat="false" ht="15.75" hidden="false" customHeight="false" outlineLevel="0" collapsed="false">
      <c r="A963" s="16"/>
      <c r="B963" s="8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row>
    <row r="964" customFormat="false" ht="15.75" hidden="false" customHeight="false" outlineLevel="0" collapsed="false">
      <c r="A964" s="16"/>
      <c r="B964" s="8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row>
    <row r="965" customFormat="false" ht="15.75" hidden="false" customHeight="false" outlineLevel="0" collapsed="false">
      <c r="A965" s="16"/>
      <c r="B965" s="8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row>
    <row r="966" customFormat="false" ht="15.75" hidden="false" customHeight="false" outlineLevel="0" collapsed="false">
      <c r="A966" s="16"/>
      <c r="B966" s="8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row>
    <row r="967" customFormat="false" ht="15.75" hidden="false" customHeight="false" outlineLevel="0" collapsed="false">
      <c r="A967" s="16"/>
      <c r="B967" s="8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row>
    <row r="968" customFormat="false" ht="15.75" hidden="false" customHeight="false" outlineLevel="0" collapsed="false">
      <c r="A968" s="16"/>
      <c r="B968" s="8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row>
    <row r="969" customFormat="false" ht="15.75" hidden="false" customHeight="false" outlineLevel="0" collapsed="false">
      <c r="A969" s="16"/>
      <c r="B969" s="8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row>
    <row r="970" customFormat="false" ht="15.75" hidden="false" customHeight="false" outlineLevel="0" collapsed="false">
      <c r="A970" s="16"/>
      <c r="B970" s="8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row>
    <row r="971" customFormat="false" ht="15.75" hidden="false" customHeight="false" outlineLevel="0" collapsed="false">
      <c r="A971" s="16"/>
      <c r="B971" s="8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row>
    <row r="972" customFormat="false" ht="15.75" hidden="false" customHeight="false" outlineLevel="0" collapsed="false">
      <c r="A972" s="16"/>
      <c r="B972" s="8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row>
    <row r="973" customFormat="false" ht="15.75" hidden="false" customHeight="false" outlineLevel="0" collapsed="false">
      <c r="A973" s="16"/>
      <c r="B973" s="8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row>
    <row r="974" customFormat="false" ht="15.75" hidden="false" customHeight="false" outlineLevel="0" collapsed="false">
      <c r="A974" s="16"/>
      <c r="B974" s="8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row>
    <row r="975" customFormat="false" ht="15.75" hidden="false" customHeight="false" outlineLevel="0" collapsed="false">
      <c r="A975" s="16"/>
      <c r="B975" s="8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row>
    <row r="976" customFormat="false" ht="15.75" hidden="false" customHeight="false" outlineLevel="0" collapsed="false">
      <c r="A976" s="16"/>
      <c r="B976" s="8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row>
    <row r="977" customFormat="false" ht="15.75" hidden="false" customHeight="false" outlineLevel="0" collapsed="false">
      <c r="A977" s="16"/>
      <c r="B977" s="8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row>
    <row r="978" customFormat="false" ht="15.75" hidden="false" customHeight="false" outlineLevel="0" collapsed="false">
      <c r="A978" s="16"/>
      <c r="B978" s="8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row>
    <row r="979" customFormat="false" ht="15.75" hidden="false" customHeight="false" outlineLevel="0" collapsed="false">
      <c r="A979" s="16"/>
      <c r="B979" s="8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row>
    <row r="980" customFormat="false" ht="15.75" hidden="false" customHeight="false" outlineLevel="0" collapsed="false">
      <c r="A980" s="16"/>
      <c r="B980" s="8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row>
    <row r="981" customFormat="false" ht="15.75" hidden="false" customHeight="false" outlineLevel="0" collapsed="false">
      <c r="A981" s="16"/>
      <c r="B981" s="8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row>
    <row r="982" customFormat="false" ht="15.75" hidden="false" customHeight="false" outlineLevel="0" collapsed="false">
      <c r="A982" s="16"/>
      <c r="B982" s="8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row>
    <row r="983" customFormat="false" ht="15.75" hidden="false" customHeight="false" outlineLevel="0" collapsed="false">
      <c r="A983" s="16"/>
      <c r="B983" s="8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row>
    <row r="984" customFormat="false" ht="15.75" hidden="false" customHeight="false" outlineLevel="0" collapsed="false">
      <c r="A984" s="16"/>
      <c r="B984" s="8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row>
    <row r="985" customFormat="false" ht="15.75" hidden="false" customHeight="false" outlineLevel="0" collapsed="false">
      <c r="A985" s="16"/>
      <c r="B985" s="8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row>
    <row r="986" customFormat="false" ht="15.75" hidden="false" customHeight="false" outlineLevel="0" collapsed="false">
      <c r="A986" s="16"/>
      <c r="B986" s="8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row>
    <row r="987" customFormat="false" ht="15.75" hidden="false" customHeight="false" outlineLevel="0" collapsed="false">
      <c r="A987" s="16"/>
      <c r="B987" s="8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row>
    <row r="988" customFormat="false" ht="15.75" hidden="false" customHeight="false" outlineLevel="0" collapsed="false">
      <c r="A988" s="16"/>
      <c r="B988" s="8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row>
    <row r="989" customFormat="false" ht="15.75" hidden="false" customHeight="false" outlineLevel="0" collapsed="false">
      <c r="A989" s="16"/>
      <c r="B989" s="8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row>
    <row r="990" customFormat="false" ht="15.75" hidden="false" customHeight="false" outlineLevel="0" collapsed="false">
      <c r="A990" s="16"/>
      <c r="B990" s="8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row>
    <row r="991" customFormat="false" ht="15.75" hidden="false" customHeight="false" outlineLevel="0" collapsed="false">
      <c r="A991" s="16"/>
      <c r="B991" s="8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row>
    <row r="992" customFormat="false" ht="15.75" hidden="false" customHeight="false" outlineLevel="0" collapsed="false">
      <c r="A992" s="16"/>
      <c r="B992" s="8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row>
    <row r="993" customFormat="false" ht="15.75" hidden="false" customHeight="false" outlineLevel="0" collapsed="false">
      <c r="A993" s="16"/>
      <c r="B993" s="8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row>
    <row r="994" customFormat="false" ht="15.75" hidden="false" customHeight="false" outlineLevel="0" collapsed="false">
      <c r="A994" s="16"/>
      <c r="B994" s="8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row>
    <row r="995" customFormat="false" ht="15.75" hidden="false" customHeight="false" outlineLevel="0" collapsed="false">
      <c r="A995" s="16"/>
      <c r="B995" s="8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row>
    <row r="996" customFormat="false" ht="15.75" hidden="false" customHeight="false" outlineLevel="0" collapsed="false">
      <c r="A996" s="16"/>
      <c r="B996" s="8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row>
    <row r="997" customFormat="false" ht="15.75" hidden="false" customHeight="false" outlineLevel="0" collapsed="false">
      <c r="A997" s="16"/>
      <c r="B997" s="8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row>
    <row r="998" customFormat="false" ht="15.75" hidden="false" customHeight="false" outlineLevel="0" collapsed="false">
      <c r="A998" s="16"/>
      <c r="B998" s="8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row>
    <row r="999" customFormat="false" ht="15.75" hidden="false" customHeight="false" outlineLevel="0" collapsed="false">
      <c r="A999" s="16"/>
      <c r="B999" s="8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row>
    <row r="1000" customFormat="false" ht="15.75" hidden="false" customHeight="false" outlineLevel="0" collapsed="false">
      <c r="A1000" s="16"/>
      <c r="B1000" s="8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row>
    <row r="1001" customFormat="false" ht="15.75" hidden="false" customHeight="false" outlineLevel="0" collapsed="false">
      <c r="A1001" s="16"/>
      <c r="B1001" s="84"/>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row>
    <row r="1002" customFormat="false" ht="15.75" hidden="false" customHeight="false" outlineLevel="0" collapsed="false">
      <c r="A1002" s="16"/>
      <c r="B1002" s="84"/>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row>
    <row r="1003" customFormat="false" ht="15.75" hidden="false" customHeight="false" outlineLevel="0" collapsed="false">
      <c r="A1003" s="16"/>
      <c r="B1003" s="84"/>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row>
    <row r="1004" customFormat="false" ht="15.75" hidden="false" customHeight="false" outlineLevel="0" collapsed="false">
      <c r="A1004" s="16"/>
      <c r="B1004" s="84"/>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row>
    <row r="1005" customFormat="false" ht="15.75" hidden="false" customHeight="false" outlineLevel="0" collapsed="false">
      <c r="A1005" s="16"/>
      <c r="B1005" s="84"/>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row>
    <row r="1006" customFormat="false" ht="15.75" hidden="false" customHeight="false" outlineLevel="0" collapsed="false">
      <c r="A1006" s="16"/>
      <c r="B1006" s="84"/>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row>
    <row r="1007" customFormat="false" ht="15.75" hidden="false" customHeight="false" outlineLevel="0" collapsed="false">
      <c r="A1007" s="16"/>
      <c r="B1007" s="84"/>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row>
    <row r="1008" customFormat="false" ht="15.75" hidden="false" customHeight="false" outlineLevel="0" collapsed="false">
      <c r="A1008" s="16"/>
      <c r="B1008" s="84"/>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row>
    <row r="1009" customFormat="false" ht="15.75" hidden="false" customHeight="false" outlineLevel="0" collapsed="false">
      <c r="A1009" s="16"/>
      <c r="B1009" s="84"/>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row>
    <row r="1010" customFormat="false" ht="15.75" hidden="false" customHeight="false" outlineLevel="0" collapsed="false">
      <c r="A1010" s="16"/>
      <c r="B1010" s="84"/>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row>
    <row r="1011" customFormat="false" ht="15.75" hidden="false" customHeight="false" outlineLevel="0" collapsed="false">
      <c r="A1011" s="16"/>
      <c r="B1011" s="84"/>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row>
    <row r="1012" customFormat="false" ht="15.75" hidden="false" customHeight="false" outlineLevel="0" collapsed="false">
      <c r="A1012" s="16"/>
      <c r="B1012" s="84"/>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row>
    <row r="1013" customFormat="false" ht="15.75" hidden="false" customHeight="false" outlineLevel="0" collapsed="false">
      <c r="A1013" s="16"/>
      <c r="B1013" s="84"/>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row>
    <row r="1014" customFormat="false" ht="15.75" hidden="false" customHeight="false" outlineLevel="0" collapsed="false">
      <c r="A1014" s="16"/>
      <c r="B1014" s="84"/>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row>
    <row r="1015" customFormat="false" ht="15.75" hidden="false" customHeight="false" outlineLevel="0" collapsed="false">
      <c r="A1015" s="16"/>
      <c r="B1015" s="84"/>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row>
    <row r="1016" customFormat="false" ht="15.75" hidden="false" customHeight="false" outlineLevel="0" collapsed="false">
      <c r="A1016" s="16"/>
      <c r="B1016" s="84"/>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row>
    <row r="1017" customFormat="false" ht="15.75" hidden="false" customHeight="false" outlineLevel="0" collapsed="false">
      <c r="A1017" s="16"/>
      <c r="B1017" s="84"/>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row>
    <row r="1018" customFormat="false" ht="15.75" hidden="false" customHeight="false" outlineLevel="0" collapsed="false">
      <c r="A1018" s="16"/>
      <c r="B1018" s="84"/>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row>
    <row r="1019" customFormat="false" ht="15.75" hidden="false" customHeight="false" outlineLevel="0" collapsed="false">
      <c r="A1019" s="16"/>
      <c r="B1019" s="84"/>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row>
    <row r="1020" customFormat="false" ht="15.75" hidden="false" customHeight="false" outlineLevel="0" collapsed="false">
      <c r="A1020" s="16"/>
      <c r="B1020" s="84"/>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row>
    <row r="1021" customFormat="false" ht="15.75" hidden="false" customHeight="false" outlineLevel="0" collapsed="false">
      <c r="A1021" s="16"/>
      <c r="B1021" s="84"/>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row>
    <row r="1022" customFormat="false" ht="15.75" hidden="false" customHeight="false" outlineLevel="0" collapsed="false">
      <c r="A1022" s="16"/>
      <c r="B1022" s="84"/>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row>
    <row r="1023" customFormat="false" ht="15.75" hidden="false" customHeight="false" outlineLevel="0" collapsed="false">
      <c r="A1023" s="16"/>
      <c r="B1023" s="84"/>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row>
    <row r="1024" customFormat="false" ht="15.75" hidden="false" customHeight="false" outlineLevel="0" collapsed="false">
      <c r="A1024" s="16"/>
      <c r="B1024" s="84"/>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row>
    <row r="1025" customFormat="false" ht="15.75" hidden="false" customHeight="false" outlineLevel="0" collapsed="false">
      <c r="A1025" s="16"/>
      <c r="B1025" s="84"/>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row>
    <row r="1026" customFormat="false" ht="15.75" hidden="false" customHeight="false" outlineLevel="0" collapsed="false">
      <c r="A1026" s="16"/>
      <c r="B1026" s="84"/>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row>
    <row r="1027" customFormat="false" ht="15.75" hidden="false" customHeight="false" outlineLevel="0" collapsed="false">
      <c r="A1027" s="16"/>
      <c r="B1027" s="84"/>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row>
    <row r="1028" customFormat="false" ht="15.75" hidden="false" customHeight="false" outlineLevel="0" collapsed="false">
      <c r="A1028" s="16"/>
      <c r="B1028" s="84"/>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row>
    <row r="1029" customFormat="false" ht="15.75" hidden="false" customHeight="false" outlineLevel="0" collapsed="false">
      <c r="A1029" s="16"/>
      <c r="B1029" s="84"/>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row>
    <row r="1030" customFormat="false" ht="15.75" hidden="false" customHeight="false" outlineLevel="0" collapsed="false">
      <c r="A1030" s="16"/>
      <c r="B1030" s="84"/>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row>
    <row r="1031" customFormat="false" ht="15.75" hidden="false" customHeight="false" outlineLevel="0" collapsed="false">
      <c r="A1031" s="16"/>
      <c r="B1031" s="84"/>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row>
    <row r="1032" customFormat="false" ht="15.75" hidden="false" customHeight="false" outlineLevel="0" collapsed="false">
      <c r="A1032" s="16"/>
      <c r="B1032" s="84"/>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row>
    <row r="1033" customFormat="false" ht="15.75" hidden="false" customHeight="false" outlineLevel="0" collapsed="false">
      <c r="A1033" s="16"/>
      <c r="B1033" s="84"/>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row>
    <row r="1034" customFormat="false" ht="15.75" hidden="false" customHeight="false" outlineLevel="0" collapsed="false">
      <c r="A1034" s="16"/>
      <c r="B1034" s="84"/>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row>
    <row r="1035" customFormat="false" ht="15.75" hidden="false" customHeight="false" outlineLevel="0" collapsed="false">
      <c r="A1035" s="16"/>
      <c r="B1035" s="84"/>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row>
    <row r="1036" customFormat="false" ht="15.75" hidden="false" customHeight="false" outlineLevel="0" collapsed="false">
      <c r="A1036" s="16"/>
      <c r="B1036" s="84"/>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row>
    <row r="1037" customFormat="false" ht="15.75" hidden="false" customHeight="false" outlineLevel="0" collapsed="false">
      <c r="A1037" s="16"/>
      <c r="B1037" s="84"/>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row>
    <row r="1038" customFormat="false" ht="15.75" hidden="false" customHeight="false" outlineLevel="0" collapsed="false">
      <c r="A1038" s="16"/>
      <c r="B1038" s="84"/>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row>
    <row r="1040" customFormat="false" ht="15.75" hidden="false" customHeight="false" outlineLevel="0" collapsed="false">
      <c r="A1040" s="13" t="s">
        <v>53</v>
      </c>
    </row>
  </sheetData>
  <mergeCells count="130">
    <mergeCell ref="A1:B1"/>
    <mergeCell ref="C1:G1"/>
    <mergeCell ref="H1:L1"/>
    <mergeCell ref="M1:Q1"/>
    <mergeCell ref="R1:V1"/>
    <mergeCell ref="A2:A14"/>
    <mergeCell ref="D2:G2"/>
    <mergeCell ref="I2:L2"/>
    <mergeCell ref="N2:Q2"/>
    <mergeCell ref="S2:V2"/>
    <mergeCell ref="D3:G3"/>
    <mergeCell ref="I3:L3"/>
    <mergeCell ref="N3:Q3"/>
    <mergeCell ref="S3:V3"/>
    <mergeCell ref="D4:G4"/>
    <mergeCell ref="I4:L4"/>
    <mergeCell ref="N4:Q4"/>
    <mergeCell ref="S4:V4"/>
    <mergeCell ref="B5:B14"/>
    <mergeCell ref="C5:L14"/>
    <mergeCell ref="N5:O5"/>
    <mergeCell ref="P5:Q5"/>
    <mergeCell ref="S5:T5"/>
    <mergeCell ref="U5:V5"/>
    <mergeCell ref="N6:O6"/>
    <mergeCell ref="P6:Q6"/>
    <mergeCell ref="S6:T6"/>
    <mergeCell ref="U6:V6"/>
    <mergeCell ref="N7:O7"/>
    <mergeCell ref="P7:Q7"/>
    <mergeCell ref="S7:T7"/>
    <mergeCell ref="U7:V7"/>
    <mergeCell ref="N8:O8"/>
    <mergeCell ref="P8:Q8"/>
    <mergeCell ref="S8:T8"/>
    <mergeCell ref="U8:V8"/>
    <mergeCell ref="N9:O9"/>
    <mergeCell ref="P9:Q9"/>
    <mergeCell ref="S9:T9"/>
    <mergeCell ref="U9:V9"/>
    <mergeCell ref="M10:Q14"/>
    <mergeCell ref="S10:T10"/>
    <mergeCell ref="U10:V10"/>
    <mergeCell ref="S11:T11"/>
    <mergeCell ref="U11:V11"/>
    <mergeCell ref="S12:T12"/>
    <mergeCell ref="U12:V12"/>
    <mergeCell ref="S13:T13"/>
    <mergeCell ref="U13:V13"/>
    <mergeCell ref="S14:T14"/>
    <mergeCell ref="U14:V14"/>
    <mergeCell ref="A15:L15"/>
    <mergeCell ref="N15:Q15"/>
    <mergeCell ref="S15:V15"/>
    <mergeCell ref="A16:C16"/>
    <mergeCell ref="A17:A38"/>
    <mergeCell ref="B17:B22"/>
    <mergeCell ref="C21:G22"/>
    <mergeCell ref="R22:V22"/>
    <mergeCell ref="B23:C23"/>
    <mergeCell ref="D23:E23"/>
    <mergeCell ref="I23:J23"/>
    <mergeCell ref="N23:O23"/>
    <mergeCell ref="S23:T23"/>
    <mergeCell ref="B24:C24"/>
    <mergeCell ref="B25:B27"/>
    <mergeCell ref="H27:V27"/>
    <mergeCell ref="B28:C28"/>
    <mergeCell ref="D28:E28"/>
    <mergeCell ref="I28:J28"/>
    <mergeCell ref="N28:O28"/>
    <mergeCell ref="S28:T28"/>
    <mergeCell ref="B29:C29"/>
    <mergeCell ref="B30:B38"/>
    <mergeCell ref="C35:G38"/>
    <mergeCell ref="H36:L38"/>
    <mergeCell ref="R36:V38"/>
    <mergeCell ref="B39:C39"/>
    <mergeCell ref="D39:E39"/>
    <mergeCell ref="I39:J39"/>
    <mergeCell ref="N39:O39"/>
    <mergeCell ref="S39:T39"/>
    <mergeCell ref="B40:C40"/>
    <mergeCell ref="A41:A46"/>
    <mergeCell ref="B41:B46"/>
    <mergeCell ref="C43:G46"/>
    <mergeCell ref="H44:L46"/>
    <mergeCell ref="B47:C47"/>
    <mergeCell ref="D47:E47"/>
    <mergeCell ref="I47:J47"/>
    <mergeCell ref="N47:O47"/>
    <mergeCell ref="S47:T47"/>
    <mergeCell ref="B48:C48"/>
    <mergeCell ref="A49:A70"/>
    <mergeCell ref="B49:B57"/>
    <mergeCell ref="C53:G57"/>
    <mergeCell ref="M54:V57"/>
    <mergeCell ref="B58:C58"/>
    <mergeCell ref="D58:E58"/>
    <mergeCell ref="I58:J58"/>
    <mergeCell ref="N58:O58"/>
    <mergeCell ref="S58:T58"/>
    <mergeCell ref="B59:C59"/>
    <mergeCell ref="B60:B64"/>
    <mergeCell ref="C62:G64"/>
    <mergeCell ref="H63:Q64"/>
    <mergeCell ref="R64:V64"/>
    <mergeCell ref="B65:C65"/>
    <mergeCell ref="D65:E65"/>
    <mergeCell ref="I65:J65"/>
    <mergeCell ref="N65:O65"/>
    <mergeCell ref="S65:T65"/>
    <mergeCell ref="B66:C66"/>
    <mergeCell ref="B67:B70"/>
    <mergeCell ref="C69:L70"/>
    <mergeCell ref="B71:C71"/>
    <mergeCell ref="D71:E71"/>
    <mergeCell ref="I71:J71"/>
    <mergeCell ref="N71:O71"/>
    <mergeCell ref="S71:T71"/>
    <mergeCell ref="B72:C72"/>
    <mergeCell ref="A73:A85"/>
    <mergeCell ref="B73:B85"/>
    <mergeCell ref="M81:Q82"/>
    <mergeCell ref="C83:Q85"/>
    <mergeCell ref="B86:C86"/>
    <mergeCell ref="D86:E86"/>
    <mergeCell ref="I86:J86"/>
    <mergeCell ref="N86:O86"/>
    <mergeCell ref="S86:T86"/>
  </mergeCells>
  <conditionalFormatting sqref="A15:V15 A39:V39 A47:M47 A71:V71 A86:V86 B23:V23 B28:V28 B58:V58 B65:V65 D17:G17 D26:G26 D61:G61 I17:L17 I26:L26 I35:L35 I61:L61 N17:Q17 N26:Q26 N35:Q35 N46:Q47 N61:Q61 R47 S12:V12 S17:V17 S26:V26 S35:V35 S46:V47 S61:V61">
    <cfRule type="containsText" priority="2" operator="containsText" aboveAverage="0" equalAverage="0" bottom="0" percent="0" rank="0" text="Error" dxfId="0">
      <formula>NOT(ISERROR(SEARCH("Error",A12)))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232"/>
    <outlinePr summaryBelow="0"/>
    <pageSetUpPr fitToPage="false"/>
  </sheetPr>
  <dimension ref="A1:AQ104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6.12"/>
    <col collapsed="false" customWidth="true" hidden="false" outlineLevel="0" max="2" min="2" style="1" width="19.52"/>
    <col collapsed="false" customWidth="true" hidden="false" outlineLevel="0" max="3" min="3" style="1" width="39.13"/>
    <col collapsed="false" customWidth="true" hidden="false" outlineLevel="0" max="7" min="4" style="1" width="6.25"/>
    <col collapsed="false" customWidth="true" hidden="false" outlineLevel="0" max="8" min="8" style="1" width="46.13"/>
    <col collapsed="false" customWidth="true" hidden="false" outlineLevel="0" max="9" min="9" style="1" width="6.25"/>
    <col collapsed="false" customWidth="true" hidden="false" outlineLevel="0" max="11" min="10" style="1" width="6.38"/>
    <col collapsed="false" customWidth="true" hidden="false" outlineLevel="0" max="12" min="12" style="1" width="5.88"/>
    <col collapsed="false" customWidth="true" hidden="false" outlineLevel="0" max="13" min="13" style="1" width="45.12"/>
    <col collapsed="false" customWidth="true" hidden="false" outlineLevel="0" max="17" min="14" style="1" width="6.25"/>
    <col collapsed="false" customWidth="true" hidden="false" outlineLevel="0" max="18" min="18" style="1" width="40.5"/>
    <col collapsed="false" customWidth="true" hidden="false" outlineLevel="0" max="22" min="19" style="1" width="6.25"/>
  </cols>
  <sheetData>
    <row r="1" customFormat="false" ht="27" hidden="false" customHeight="true" outlineLevel="0" collapsed="false">
      <c r="A1" s="14"/>
      <c r="B1" s="14"/>
      <c r="C1" s="15" t="s">
        <v>54</v>
      </c>
      <c r="D1" s="15"/>
      <c r="E1" s="15"/>
      <c r="F1" s="15"/>
      <c r="G1" s="15"/>
      <c r="H1" s="15" t="s">
        <v>55</v>
      </c>
      <c r="I1" s="15"/>
      <c r="J1" s="15"/>
      <c r="K1" s="15"/>
      <c r="L1" s="15"/>
      <c r="M1" s="15" t="s">
        <v>56</v>
      </c>
      <c r="N1" s="15"/>
      <c r="O1" s="15"/>
      <c r="P1" s="15"/>
      <c r="Q1" s="15"/>
      <c r="R1" s="15" t="s">
        <v>57</v>
      </c>
      <c r="S1" s="15"/>
      <c r="T1" s="15"/>
      <c r="U1" s="15"/>
      <c r="V1" s="15"/>
      <c r="W1" s="16"/>
      <c r="X1" s="16"/>
      <c r="Y1" s="16"/>
      <c r="Z1" s="16"/>
      <c r="AA1" s="16"/>
      <c r="AB1" s="16"/>
      <c r="AC1" s="16"/>
      <c r="AD1" s="16"/>
      <c r="AE1" s="16"/>
      <c r="AF1" s="16"/>
      <c r="AG1" s="16"/>
      <c r="AH1" s="16"/>
      <c r="AI1" s="16"/>
      <c r="AJ1" s="16"/>
      <c r="AK1" s="16"/>
      <c r="AL1" s="16"/>
      <c r="AM1" s="16"/>
      <c r="AN1" s="16"/>
      <c r="AO1" s="16"/>
      <c r="AP1" s="16"/>
      <c r="AQ1" s="16"/>
    </row>
    <row r="2" customFormat="false" ht="68.65" hidden="false" customHeight="true" outlineLevel="0" collapsed="false">
      <c r="A2" s="17" t="s">
        <v>58</v>
      </c>
      <c r="B2" s="18" t="s">
        <v>59</v>
      </c>
      <c r="C2" s="19" t="s">
        <v>60</v>
      </c>
      <c r="D2" s="20" t="s">
        <v>61</v>
      </c>
      <c r="E2" s="20"/>
      <c r="F2" s="20"/>
      <c r="G2" s="20"/>
      <c r="H2" s="19" t="s">
        <v>62</v>
      </c>
      <c r="I2" s="21"/>
      <c r="J2" s="21"/>
      <c r="K2" s="21"/>
      <c r="L2" s="21"/>
      <c r="M2" s="19" t="s">
        <v>63</v>
      </c>
      <c r="N2" s="21"/>
      <c r="O2" s="21"/>
      <c r="P2" s="21"/>
      <c r="Q2" s="21"/>
      <c r="R2" s="22" t="s">
        <v>64</v>
      </c>
      <c r="S2" s="23"/>
      <c r="T2" s="23"/>
      <c r="U2" s="23"/>
      <c r="V2" s="23"/>
      <c r="W2" s="16"/>
      <c r="X2" s="16"/>
      <c r="Y2" s="16"/>
      <c r="Z2" s="16"/>
      <c r="AA2" s="16"/>
      <c r="AB2" s="16"/>
      <c r="AC2" s="16"/>
      <c r="AD2" s="16"/>
      <c r="AE2" s="16"/>
      <c r="AF2" s="16"/>
      <c r="AG2" s="16"/>
      <c r="AH2" s="16"/>
      <c r="AI2" s="16"/>
      <c r="AJ2" s="16"/>
      <c r="AK2" s="16"/>
      <c r="AL2" s="16"/>
      <c r="AM2" s="16"/>
      <c r="AN2" s="16"/>
      <c r="AO2" s="16"/>
      <c r="AP2" s="16"/>
      <c r="AQ2" s="16"/>
    </row>
    <row r="3" customFormat="false" ht="41.75" hidden="false" customHeight="true" outlineLevel="0" collapsed="false">
      <c r="A3" s="17"/>
      <c r="B3" s="18" t="s">
        <v>65</v>
      </c>
      <c r="C3" s="19" t="s">
        <v>66</v>
      </c>
      <c r="D3" s="20" t="s">
        <v>67</v>
      </c>
      <c r="E3" s="20"/>
      <c r="F3" s="20"/>
      <c r="G3" s="20"/>
      <c r="H3" s="24" t="n">
        <v>43164</v>
      </c>
      <c r="I3" s="25"/>
      <c r="J3" s="25"/>
      <c r="K3" s="25"/>
      <c r="L3" s="25"/>
      <c r="M3" s="19" t="s">
        <v>68</v>
      </c>
      <c r="N3" s="21"/>
      <c r="O3" s="21"/>
      <c r="P3" s="21"/>
      <c r="Q3" s="21"/>
      <c r="R3" s="19" t="s">
        <v>69</v>
      </c>
      <c r="S3" s="21"/>
      <c r="T3" s="21"/>
      <c r="U3" s="21"/>
      <c r="V3" s="21"/>
      <c r="W3" s="16"/>
      <c r="X3" s="16"/>
      <c r="Y3" s="16"/>
      <c r="Z3" s="16"/>
      <c r="AA3" s="16"/>
      <c r="AB3" s="16"/>
      <c r="AC3" s="16"/>
      <c r="AD3" s="16"/>
      <c r="AE3" s="16"/>
      <c r="AF3" s="16"/>
      <c r="AG3" s="16"/>
      <c r="AH3" s="16"/>
      <c r="AI3" s="16"/>
      <c r="AJ3" s="16"/>
      <c r="AK3" s="16"/>
      <c r="AL3" s="16"/>
      <c r="AM3" s="16"/>
      <c r="AN3" s="16"/>
      <c r="AO3" s="16"/>
      <c r="AP3" s="16"/>
      <c r="AQ3" s="16"/>
    </row>
    <row r="4" customFormat="false" ht="135.75" hidden="false" customHeight="true" outlineLevel="0" collapsed="false">
      <c r="A4" s="17"/>
      <c r="B4" s="18" t="s">
        <v>70</v>
      </c>
      <c r="C4" s="26" t="s">
        <v>71</v>
      </c>
      <c r="D4" s="20" t="s">
        <v>72</v>
      </c>
      <c r="E4" s="20"/>
      <c r="F4" s="20"/>
      <c r="G4" s="20"/>
      <c r="H4" s="26" t="s">
        <v>73</v>
      </c>
      <c r="I4" s="27"/>
      <c r="J4" s="27"/>
      <c r="K4" s="27"/>
      <c r="L4" s="27"/>
      <c r="M4" s="26" t="s">
        <v>74</v>
      </c>
      <c r="N4" s="27"/>
      <c r="O4" s="27"/>
      <c r="P4" s="27"/>
      <c r="Q4" s="27"/>
      <c r="R4" s="26" t="s">
        <v>75</v>
      </c>
      <c r="S4" s="27"/>
      <c r="T4" s="27"/>
      <c r="U4" s="27"/>
      <c r="V4" s="27"/>
      <c r="W4" s="16"/>
      <c r="X4" s="16"/>
      <c r="Y4" s="16"/>
      <c r="Z4" s="16"/>
      <c r="AA4" s="16"/>
      <c r="AB4" s="16"/>
      <c r="AC4" s="16"/>
      <c r="AD4" s="16"/>
      <c r="AE4" s="16"/>
      <c r="AF4" s="16"/>
      <c r="AG4" s="16"/>
      <c r="AH4" s="16"/>
      <c r="AI4" s="16"/>
      <c r="AJ4" s="16"/>
      <c r="AK4" s="16"/>
      <c r="AL4" s="16"/>
      <c r="AM4" s="16"/>
      <c r="AN4" s="16"/>
      <c r="AO4" s="16"/>
      <c r="AP4" s="16"/>
      <c r="AQ4" s="16"/>
    </row>
    <row r="5" customFormat="false" ht="15.75" hidden="false" customHeight="true" outlineLevel="0" collapsed="false">
      <c r="A5" s="17"/>
      <c r="B5" s="28" t="s">
        <v>76</v>
      </c>
      <c r="C5" s="29"/>
      <c r="D5" s="29"/>
      <c r="E5" s="29"/>
      <c r="F5" s="29"/>
      <c r="G5" s="29"/>
      <c r="H5" s="29"/>
      <c r="I5" s="29"/>
      <c r="J5" s="29"/>
      <c r="K5" s="29"/>
      <c r="L5" s="29"/>
      <c r="M5" s="30"/>
      <c r="N5" s="31" t="s">
        <v>77</v>
      </c>
      <c r="O5" s="31"/>
      <c r="P5" s="31" t="s">
        <v>78</v>
      </c>
      <c r="Q5" s="31"/>
      <c r="R5" s="30"/>
      <c r="S5" s="31" t="s">
        <v>77</v>
      </c>
      <c r="T5" s="31"/>
      <c r="U5" s="31" t="s">
        <v>78</v>
      </c>
      <c r="V5" s="31"/>
      <c r="W5" s="16"/>
      <c r="X5" s="16"/>
      <c r="Y5" s="16"/>
      <c r="Z5" s="16"/>
      <c r="AA5" s="16"/>
      <c r="AB5" s="16"/>
      <c r="AC5" s="16"/>
      <c r="AD5" s="16"/>
      <c r="AE5" s="16"/>
      <c r="AF5" s="16"/>
      <c r="AG5" s="16"/>
      <c r="AH5" s="16"/>
      <c r="AI5" s="16"/>
      <c r="AJ5" s="16"/>
      <c r="AK5" s="16"/>
      <c r="AL5" s="16"/>
      <c r="AM5" s="16"/>
      <c r="AN5" s="16"/>
      <c r="AO5" s="16"/>
      <c r="AP5" s="16"/>
      <c r="AQ5" s="16"/>
    </row>
    <row r="6" customFormat="false" ht="28.35" hidden="false" customHeight="false" outlineLevel="0" collapsed="false">
      <c r="A6" s="17"/>
      <c r="B6" s="17"/>
      <c r="C6" s="17"/>
      <c r="D6" s="29"/>
      <c r="E6" s="29"/>
      <c r="F6" s="29"/>
      <c r="G6" s="29"/>
      <c r="H6" s="29"/>
      <c r="I6" s="29"/>
      <c r="J6" s="29"/>
      <c r="K6" s="29"/>
      <c r="L6" s="29"/>
      <c r="M6" s="32" t="s">
        <v>79</v>
      </c>
      <c r="N6" s="33"/>
      <c r="O6" s="33"/>
      <c r="P6" s="33"/>
      <c r="Q6" s="33"/>
      <c r="R6" s="32" t="s">
        <v>79</v>
      </c>
      <c r="S6" s="33"/>
      <c r="T6" s="33"/>
      <c r="U6" s="33"/>
      <c r="V6" s="33"/>
      <c r="W6" s="16"/>
      <c r="X6" s="16"/>
      <c r="Y6" s="16"/>
      <c r="Z6" s="16"/>
      <c r="AA6" s="16"/>
      <c r="AB6" s="16"/>
      <c r="AC6" s="16"/>
      <c r="AD6" s="16"/>
      <c r="AE6" s="16"/>
      <c r="AF6" s="16"/>
      <c r="AG6" s="16"/>
      <c r="AH6" s="16"/>
      <c r="AI6" s="16"/>
      <c r="AJ6" s="16"/>
      <c r="AK6" s="16"/>
      <c r="AL6" s="16"/>
      <c r="AM6" s="16"/>
      <c r="AN6" s="16"/>
      <c r="AO6" s="16"/>
      <c r="AP6" s="16"/>
      <c r="AQ6" s="16"/>
    </row>
    <row r="7" customFormat="false" ht="15.75" hidden="false" customHeight="false" outlineLevel="0" collapsed="false">
      <c r="A7" s="17"/>
      <c r="B7" s="17"/>
      <c r="C7" s="17"/>
      <c r="D7" s="29"/>
      <c r="E7" s="29"/>
      <c r="F7" s="29"/>
      <c r="G7" s="29"/>
      <c r="H7" s="29"/>
      <c r="I7" s="29"/>
      <c r="J7" s="29"/>
      <c r="K7" s="29"/>
      <c r="L7" s="29"/>
      <c r="M7" s="32" t="s">
        <v>80</v>
      </c>
      <c r="N7" s="33"/>
      <c r="O7" s="33"/>
      <c r="P7" s="33"/>
      <c r="Q7" s="33"/>
      <c r="R7" s="32" t="s">
        <v>80</v>
      </c>
      <c r="S7" s="33"/>
      <c r="T7" s="33"/>
      <c r="U7" s="33"/>
      <c r="V7" s="33"/>
      <c r="W7" s="16"/>
      <c r="X7" s="16"/>
      <c r="Y7" s="16"/>
      <c r="Z7" s="16"/>
      <c r="AA7" s="16"/>
      <c r="AB7" s="16"/>
      <c r="AC7" s="16"/>
      <c r="AD7" s="16"/>
      <c r="AE7" s="16"/>
      <c r="AF7" s="16"/>
      <c r="AG7" s="16"/>
      <c r="AH7" s="16"/>
      <c r="AI7" s="16"/>
      <c r="AJ7" s="16"/>
      <c r="AK7" s="16"/>
      <c r="AL7" s="16"/>
      <c r="AM7" s="16"/>
      <c r="AN7" s="16"/>
      <c r="AO7" s="16"/>
      <c r="AP7" s="16"/>
      <c r="AQ7" s="16"/>
    </row>
    <row r="8" customFormat="false" ht="28.35" hidden="false" customHeight="false" outlineLevel="0" collapsed="false">
      <c r="A8" s="17"/>
      <c r="B8" s="17"/>
      <c r="C8" s="17"/>
      <c r="D8" s="29"/>
      <c r="E8" s="29"/>
      <c r="F8" s="29"/>
      <c r="G8" s="29"/>
      <c r="H8" s="29"/>
      <c r="I8" s="29"/>
      <c r="J8" s="29"/>
      <c r="K8" s="29"/>
      <c r="L8" s="29"/>
      <c r="M8" s="32" t="s">
        <v>81</v>
      </c>
      <c r="N8" s="33"/>
      <c r="O8" s="33"/>
      <c r="P8" s="33"/>
      <c r="Q8" s="33"/>
      <c r="R8" s="32" t="s">
        <v>81</v>
      </c>
      <c r="S8" s="33"/>
      <c r="T8" s="33"/>
      <c r="U8" s="33"/>
      <c r="V8" s="33"/>
      <c r="W8" s="16"/>
      <c r="X8" s="16"/>
      <c r="Y8" s="16"/>
      <c r="Z8" s="16"/>
      <c r="AA8" s="16"/>
      <c r="AB8" s="16"/>
      <c r="AC8" s="16"/>
      <c r="AD8" s="16"/>
      <c r="AE8" s="16"/>
      <c r="AF8" s="16"/>
      <c r="AG8" s="16"/>
      <c r="AH8" s="16"/>
      <c r="AI8" s="16"/>
      <c r="AJ8" s="16"/>
      <c r="AK8" s="16"/>
      <c r="AL8" s="16"/>
      <c r="AM8" s="16"/>
      <c r="AN8" s="16"/>
      <c r="AO8" s="16"/>
      <c r="AP8" s="16"/>
      <c r="AQ8" s="16"/>
    </row>
    <row r="9" customFormat="false" ht="41.75" hidden="false" customHeight="false" outlineLevel="0" collapsed="false">
      <c r="A9" s="17"/>
      <c r="B9" s="17"/>
      <c r="C9" s="17"/>
      <c r="D9" s="29"/>
      <c r="E9" s="29"/>
      <c r="F9" s="29"/>
      <c r="G9" s="29"/>
      <c r="H9" s="29"/>
      <c r="I9" s="29"/>
      <c r="J9" s="29"/>
      <c r="K9" s="29"/>
      <c r="L9" s="29"/>
      <c r="M9" s="32" t="s">
        <v>82</v>
      </c>
      <c r="N9" s="33"/>
      <c r="O9" s="33"/>
      <c r="P9" s="33"/>
      <c r="Q9" s="33"/>
      <c r="R9" s="32" t="s">
        <v>82</v>
      </c>
      <c r="S9" s="33"/>
      <c r="T9" s="33"/>
      <c r="U9" s="33"/>
      <c r="V9" s="33"/>
      <c r="W9" s="16"/>
      <c r="X9" s="16"/>
      <c r="Y9" s="16"/>
      <c r="Z9" s="16"/>
      <c r="AA9" s="16"/>
      <c r="AB9" s="16"/>
      <c r="AC9" s="16"/>
      <c r="AD9" s="16"/>
      <c r="AE9" s="16"/>
      <c r="AF9" s="16"/>
      <c r="AG9" s="16"/>
      <c r="AH9" s="16"/>
      <c r="AI9" s="16"/>
      <c r="AJ9" s="16"/>
      <c r="AK9" s="16"/>
      <c r="AL9" s="16"/>
      <c r="AM9" s="16"/>
      <c r="AN9" s="16"/>
      <c r="AO9" s="16"/>
      <c r="AP9" s="16"/>
      <c r="AQ9" s="16"/>
    </row>
    <row r="10" customFormat="false" ht="28.35" hidden="false" customHeight="false" outlineLevel="0" collapsed="false">
      <c r="A10" s="17"/>
      <c r="B10" s="17"/>
      <c r="C10" s="17"/>
      <c r="D10" s="29"/>
      <c r="E10" s="29"/>
      <c r="F10" s="29"/>
      <c r="G10" s="29"/>
      <c r="H10" s="29"/>
      <c r="I10" s="29"/>
      <c r="J10" s="29"/>
      <c r="K10" s="29"/>
      <c r="L10" s="29"/>
      <c r="M10" s="23"/>
      <c r="N10" s="23"/>
      <c r="O10" s="23"/>
      <c r="P10" s="23"/>
      <c r="Q10" s="23"/>
      <c r="R10" s="32" t="s">
        <v>83</v>
      </c>
      <c r="S10" s="33"/>
      <c r="T10" s="33"/>
      <c r="U10" s="33"/>
      <c r="V10" s="33"/>
      <c r="W10" s="16"/>
      <c r="X10" s="16"/>
      <c r="Y10" s="16"/>
      <c r="Z10" s="16"/>
      <c r="AA10" s="16"/>
      <c r="AB10" s="16"/>
      <c r="AC10" s="16"/>
      <c r="AD10" s="16"/>
      <c r="AE10" s="16"/>
      <c r="AF10" s="16"/>
      <c r="AG10" s="16"/>
      <c r="AH10" s="16"/>
      <c r="AI10" s="16"/>
      <c r="AJ10" s="16"/>
      <c r="AK10" s="16"/>
      <c r="AL10" s="16"/>
      <c r="AM10" s="16"/>
      <c r="AN10" s="16"/>
      <c r="AO10" s="16"/>
      <c r="AP10" s="16"/>
      <c r="AQ10" s="16"/>
    </row>
    <row r="11" customFormat="false" ht="55.2" hidden="false" customHeight="false" outlineLevel="0" collapsed="false">
      <c r="A11" s="17"/>
      <c r="B11" s="17"/>
      <c r="C11" s="17"/>
      <c r="D11" s="29"/>
      <c r="E11" s="29"/>
      <c r="F11" s="29"/>
      <c r="G11" s="29"/>
      <c r="H11" s="29"/>
      <c r="I11" s="29"/>
      <c r="J11" s="29"/>
      <c r="K11" s="29"/>
      <c r="L11" s="29"/>
      <c r="M11" s="23"/>
      <c r="N11" s="23"/>
      <c r="O11" s="23"/>
      <c r="P11" s="23"/>
      <c r="Q11" s="23"/>
      <c r="R11" s="32" t="s">
        <v>84</v>
      </c>
      <c r="S11" s="33"/>
      <c r="T11" s="33"/>
      <c r="U11" s="33"/>
      <c r="V11" s="33"/>
      <c r="W11" s="16"/>
      <c r="X11" s="16"/>
      <c r="Y11" s="16"/>
      <c r="Z11" s="16"/>
      <c r="AA11" s="16"/>
      <c r="AB11" s="16"/>
      <c r="AC11" s="16"/>
      <c r="AD11" s="16"/>
      <c r="AE11" s="16"/>
      <c r="AF11" s="16"/>
      <c r="AG11" s="16"/>
      <c r="AH11" s="16"/>
      <c r="AI11" s="16"/>
      <c r="AJ11" s="16"/>
      <c r="AK11" s="16"/>
      <c r="AL11" s="16"/>
      <c r="AM11" s="16"/>
      <c r="AN11" s="16"/>
      <c r="AO11" s="16"/>
      <c r="AP11" s="16"/>
      <c r="AQ11" s="16"/>
    </row>
    <row r="12" customFormat="false" ht="41.75" hidden="false" customHeight="false" outlineLevel="0" collapsed="false">
      <c r="A12" s="17"/>
      <c r="B12" s="17"/>
      <c r="C12" s="17"/>
      <c r="D12" s="29"/>
      <c r="E12" s="29"/>
      <c r="F12" s="29"/>
      <c r="G12" s="29"/>
      <c r="H12" s="29"/>
      <c r="I12" s="29"/>
      <c r="J12" s="29"/>
      <c r="K12" s="29"/>
      <c r="L12" s="29"/>
      <c r="M12" s="23"/>
      <c r="N12" s="23"/>
      <c r="O12" s="23"/>
      <c r="P12" s="23"/>
      <c r="Q12" s="23"/>
      <c r="R12" s="32" t="s">
        <v>85</v>
      </c>
      <c r="S12" s="33"/>
      <c r="T12" s="33"/>
      <c r="U12" s="33"/>
      <c r="V12" s="33"/>
      <c r="W12" s="16"/>
      <c r="X12" s="16"/>
      <c r="Y12" s="16"/>
      <c r="Z12" s="16"/>
      <c r="AA12" s="16"/>
      <c r="AB12" s="16"/>
      <c r="AC12" s="16"/>
      <c r="AD12" s="16"/>
      <c r="AE12" s="16"/>
      <c r="AF12" s="16"/>
      <c r="AG12" s="16"/>
      <c r="AH12" s="16"/>
      <c r="AI12" s="16"/>
      <c r="AJ12" s="16"/>
      <c r="AK12" s="16"/>
      <c r="AL12" s="16"/>
      <c r="AM12" s="16"/>
      <c r="AN12" s="16"/>
      <c r="AO12" s="16"/>
      <c r="AP12" s="16"/>
      <c r="AQ12" s="16"/>
    </row>
    <row r="13" customFormat="false" ht="41.75" hidden="false" customHeight="false" outlineLevel="0" collapsed="false">
      <c r="A13" s="17"/>
      <c r="B13" s="17"/>
      <c r="C13" s="17"/>
      <c r="D13" s="29"/>
      <c r="E13" s="29"/>
      <c r="F13" s="29"/>
      <c r="G13" s="29"/>
      <c r="H13" s="29"/>
      <c r="I13" s="29"/>
      <c r="J13" s="29"/>
      <c r="K13" s="29"/>
      <c r="L13" s="29"/>
      <c r="M13" s="23"/>
      <c r="N13" s="23"/>
      <c r="O13" s="23"/>
      <c r="P13" s="23"/>
      <c r="Q13" s="23"/>
      <c r="R13" s="32" t="s">
        <v>86</v>
      </c>
      <c r="S13" s="33"/>
      <c r="T13" s="33"/>
      <c r="U13" s="33"/>
      <c r="V13" s="33"/>
      <c r="W13" s="16"/>
      <c r="X13" s="16"/>
      <c r="Y13" s="16"/>
      <c r="Z13" s="16"/>
      <c r="AA13" s="16"/>
      <c r="AB13" s="16"/>
      <c r="AC13" s="16"/>
      <c r="AD13" s="16"/>
      <c r="AE13" s="16"/>
      <c r="AF13" s="16"/>
      <c r="AG13" s="16"/>
      <c r="AH13" s="16"/>
      <c r="AI13" s="16"/>
      <c r="AJ13" s="16"/>
      <c r="AK13" s="16"/>
      <c r="AL13" s="16"/>
      <c r="AM13" s="16"/>
      <c r="AN13" s="16"/>
      <c r="AO13" s="16"/>
      <c r="AP13" s="16"/>
      <c r="AQ13" s="16"/>
    </row>
    <row r="14" customFormat="false" ht="41.75" hidden="false" customHeight="false" outlineLevel="0" collapsed="false">
      <c r="A14" s="17"/>
      <c r="B14" s="17"/>
      <c r="C14" s="17"/>
      <c r="D14" s="29"/>
      <c r="E14" s="29"/>
      <c r="F14" s="29"/>
      <c r="G14" s="29"/>
      <c r="H14" s="29"/>
      <c r="I14" s="29"/>
      <c r="J14" s="29"/>
      <c r="K14" s="29"/>
      <c r="L14" s="29"/>
      <c r="M14" s="23"/>
      <c r="N14" s="23"/>
      <c r="O14" s="23"/>
      <c r="P14" s="23"/>
      <c r="Q14" s="23"/>
      <c r="R14" s="32" t="s">
        <v>87</v>
      </c>
      <c r="S14" s="33"/>
      <c r="T14" s="33"/>
      <c r="U14" s="33"/>
      <c r="V14" s="33"/>
      <c r="W14" s="16"/>
      <c r="X14" s="16"/>
      <c r="Y14" s="16"/>
      <c r="Z14" s="16"/>
      <c r="AA14" s="16"/>
      <c r="AB14" s="16"/>
      <c r="AC14" s="16"/>
      <c r="AD14" s="16"/>
      <c r="AE14" s="16"/>
      <c r="AF14" s="16"/>
      <c r="AG14" s="16"/>
      <c r="AH14" s="16"/>
      <c r="AI14" s="16"/>
      <c r="AJ14" s="16"/>
      <c r="AK14" s="16"/>
      <c r="AL14" s="16"/>
      <c r="AM14" s="16"/>
      <c r="AN14" s="16"/>
      <c r="AO14" s="16"/>
      <c r="AP14" s="16"/>
      <c r="AQ14" s="16"/>
    </row>
    <row r="15" customFormat="false" ht="15.75" hidden="false" customHeight="false" outlineLevel="0" collapsed="false">
      <c r="A15" s="34"/>
      <c r="B15" s="34"/>
      <c r="C15" s="34"/>
      <c r="D15" s="34"/>
      <c r="E15" s="34"/>
      <c r="F15" s="34"/>
      <c r="G15" s="34"/>
      <c r="H15" s="34"/>
      <c r="I15" s="34"/>
      <c r="J15" s="34"/>
      <c r="K15" s="34"/>
      <c r="L15" s="34"/>
      <c r="M15" s="35" t="s">
        <v>88</v>
      </c>
      <c r="N15" s="36" t="str">
        <f aca="false">IF( AND(COUNT(N6:Q6)=1,COUNT(N7:Q7)=1,COUNT(N8:Q8)=1,COUNT(N9:Q9)=1), SUM(P6:Q9)/ROWS(P6:Q9), "Error - check cell values")</f>
        <v>Error - check cell values</v>
      </c>
      <c r="O15" s="36"/>
      <c r="P15" s="36"/>
      <c r="Q15" s="36"/>
      <c r="R15" s="35" t="s">
        <v>88</v>
      </c>
      <c r="S15" s="36" t="str">
        <f aca="false">IF( AND(COUNT(S6:V6)=1,COUNT(S7:V7)=1,COUNT(S8:V8)=1,COUNT(S9:V9)=1,COUNT(S10:V10)=1,COUNT(S11:V11)=1,COUNT(S12:V12)=1,COUNT(S13:V13)=1,COUNT(S14:V14)=1), SUM(U6:V14)/ROWS(U6:V14), "Error - check cell values")</f>
        <v>Error - check cell values</v>
      </c>
      <c r="T15" s="36"/>
      <c r="U15" s="36"/>
      <c r="V15" s="36"/>
      <c r="W15" s="16"/>
      <c r="X15" s="16"/>
      <c r="Y15" s="16"/>
      <c r="Z15" s="16"/>
      <c r="AA15" s="16"/>
      <c r="AB15" s="16"/>
      <c r="AC15" s="16"/>
      <c r="AD15" s="16"/>
      <c r="AE15" s="16"/>
      <c r="AF15" s="16"/>
      <c r="AG15" s="16"/>
      <c r="AH15" s="16"/>
      <c r="AI15" s="16"/>
      <c r="AJ15" s="16"/>
      <c r="AK15" s="16"/>
      <c r="AL15" s="16"/>
      <c r="AM15" s="16"/>
      <c r="AN15" s="16"/>
      <c r="AO15" s="16"/>
      <c r="AP15" s="16"/>
      <c r="AQ15" s="16"/>
    </row>
    <row r="16" customFormat="false" ht="41.75" hidden="false" customHeight="false" outlineLevel="0" collapsed="false">
      <c r="A16" s="37"/>
      <c r="B16" s="37"/>
      <c r="C16" s="37"/>
      <c r="D16" s="38" t="s">
        <v>77</v>
      </c>
      <c r="E16" s="38" t="s">
        <v>89</v>
      </c>
      <c r="F16" s="38" t="s">
        <v>78</v>
      </c>
      <c r="G16" s="38" t="s">
        <v>90</v>
      </c>
      <c r="H16" s="39"/>
      <c r="I16" s="38" t="s">
        <v>77</v>
      </c>
      <c r="J16" s="38" t="s">
        <v>89</v>
      </c>
      <c r="K16" s="38" t="s">
        <v>78</v>
      </c>
      <c r="L16" s="38" t="s">
        <v>90</v>
      </c>
      <c r="M16" s="39"/>
      <c r="N16" s="38" t="s">
        <v>77</v>
      </c>
      <c r="O16" s="38" t="s">
        <v>89</v>
      </c>
      <c r="P16" s="38" t="s">
        <v>78</v>
      </c>
      <c r="Q16" s="38" t="s">
        <v>90</v>
      </c>
      <c r="R16" s="39"/>
      <c r="S16" s="38" t="s">
        <v>77</v>
      </c>
      <c r="T16" s="38" t="s">
        <v>89</v>
      </c>
      <c r="U16" s="38" t="s">
        <v>78</v>
      </c>
      <c r="V16" s="38" t="s">
        <v>90</v>
      </c>
      <c r="W16" s="16"/>
      <c r="X16" s="16"/>
      <c r="Y16" s="16"/>
      <c r="Z16" s="16"/>
      <c r="AA16" s="16"/>
      <c r="AB16" s="16"/>
      <c r="AC16" s="16"/>
      <c r="AD16" s="16"/>
      <c r="AE16" s="16"/>
      <c r="AF16" s="16"/>
      <c r="AG16" s="16"/>
      <c r="AH16" s="16"/>
      <c r="AI16" s="16"/>
      <c r="AJ16" s="16"/>
      <c r="AK16" s="16"/>
      <c r="AL16" s="16"/>
      <c r="AM16" s="16"/>
      <c r="AN16" s="16"/>
      <c r="AO16" s="16"/>
      <c r="AP16" s="16"/>
      <c r="AQ16" s="16"/>
    </row>
    <row r="17" customFormat="false" ht="46.25" hidden="false" customHeight="true" outlineLevel="0" collapsed="false">
      <c r="A17" s="17" t="s">
        <v>91</v>
      </c>
      <c r="B17" s="40" t="s">
        <v>92</v>
      </c>
      <c r="C17" s="41" t="s">
        <v>93</v>
      </c>
      <c r="D17" s="22"/>
      <c r="E17" s="22"/>
      <c r="F17" s="22"/>
      <c r="G17" s="22" t="n">
        <v>1</v>
      </c>
      <c r="H17" s="42" t="s">
        <v>94</v>
      </c>
      <c r="I17" s="22"/>
      <c r="J17" s="22"/>
      <c r="K17" s="43"/>
      <c r="L17" s="43" t="n">
        <v>1</v>
      </c>
      <c r="M17" s="42" t="s">
        <v>95</v>
      </c>
      <c r="N17" s="22"/>
      <c r="O17" s="22"/>
      <c r="P17" s="22"/>
      <c r="Q17" s="44" t="n">
        <v>1</v>
      </c>
      <c r="R17" s="26" t="s">
        <v>96</v>
      </c>
      <c r="S17" s="22"/>
      <c r="T17" s="22"/>
      <c r="U17" s="22"/>
      <c r="V17" s="22" t="n">
        <v>1</v>
      </c>
      <c r="W17" s="16"/>
      <c r="X17" s="16"/>
      <c r="Y17" s="16"/>
      <c r="Z17" s="16"/>
      <c r="AA17" s="16"/>
      <c r="AB17" s="16"/>
      <c r="AC17" s="16"/>
      <c r="AD17" s="16"/>
      <c r="AE17" s="16"/>
      <c r="AF17" s="16"/>
      <c r="AG17" s="16"/>
      <c r="AH17" s="16"/>
      <c r="AI17" s="16"/>
      <c r="AJ17" s="16"/>
      <c r="AK17" s="16"/>
      <c r="AL17" s="16"/>
      <c r="AM17" s="16"/>
      <c r="AN17" s="16"/>
      <c r="AO17" s="16"/>
      <c r="AP17" s="16"/>
      <c r="AQ17" s="16"/>
    </row>
    <row r="18" customFormat="false" ht="41.75" hidden="false" customHeight="false" outlineLevel="0" collapsed="false">
      <c r="A18" s="17"/>
      <c r="B18" s="17"/>
      <c r="C18" s="45" t="s">
        <v>97</v>
      </c>
      <c r="D18" s="22"/>
      <c r="E18" s="22"/>
      <c r="F18" s="22"/>
      <c r="G18" s="22" t="n">
        <v>1</v>
      </c>
      <c r="H18" s="42" t="s">
        <v>98</v>
      </c>
      <c r="I18" s="22"/>
      <c r="J18" s="22"/>
      <c r="K18" s="43"/>
      <c r="L18" s="43" t="n">
        <v>1</v>
      </c>
      <c r="M18" s="26" t="s">
        <v>99</v>
      </c>
      <c r="N18" s="22"/>
      <c r="O18" s="22"/>
      <c r="P18" s="22"/>
      <c r="Q18" s="44" t="n">
        <v>1</v>
      </c>
      <c r="R18" s="26" t="s">
        <v>100</v>
      </c>
      <c r="S18" s="22"/>
      <c r="T18" s="22"/>
      <c r="U18" s="22"/>
      <c r="V18" s="22" t="n">
        <v>1</v>
      </c>
      <c r="W18" s="16"/>
      <c r="X18" s="16"/>
      <c r="Y18" s="16"/>
      <c r="Z18" s="16"/>
      <c r="AA18" s="16"/>
      <c r="AB18" s="16"/>
      <c r="AC18" s="16"/>
      <c r="AD18" s="16"/>
      <c r="AE18" s="16"/>
      <c r="AF18" s="16"/>
      <c r="AG18" s="16"/>
      <c r="AH18" s="16"/>
      <c r="AI18" s="16"/>
      <c r="AJ18" s="16"/>
      <c r="AK18" s="16"/>
      <c r="AL18" s="16"/>
      <c r="AM18" s="16"/>
      <c r="AN18" s="16"/>
      <c r="AO18" s="16"/>
      <c r="AP18" s="16"/>
      <c r="AQ18" s="16"/>
    </row>
    <row r="19" customFormat="false" ht="68.65" hidden="false" customHeight="false" outlineLevel="0" collapsed="false">
      <c r="A19" s="17"/>
      <c r="B19" s="17"/>
      <c r="C19" s="45" t="s">
        <v>101</v>
      </c>
      <c r="D19" s="22"/>
      <c r="E19" s="22"/>
      <c r="F19" s="22"/>
      <c r="G19" s="22" t="n">
        <v>1</v>
      </c>
      <c r="H19" s="46" t="s">
        <v>102</v>
      </c>
      <c r="I19" s="22"/>
      <c r="J19" s="22"/>
      <c r="K19" s="43"/>
      <c r="L19" s="43" t="n">
        <v>1</v>
      </c>
      <c r="M19" s="42" t="s">
        <v>103</v>
      </c>
      <c r="N19" s="22"/>
      <c r="O19" s="22"/>
      <c r="P19" s="22"/>
      <c r="Q19" s="44" t="n">
        <v>1</v>
      </c>
      <c r="R19" s="26" t="s">
        <v>104</v>
      </c>
      <c r="S19" s="22"/>
      <c r="T19" s="22"/>
      <c r="U19" s="22"/>
      <c r="V19" s="22" t="n">
        <v>1</v>
      </c>
      <c r="W19" s="16"/>
      <c r="X19" s="16"/>
      <c r="Y19" s="16"/>
      <c r="Z19" s="16"/>
      <c r="AA19" s="16"/>
      <c r="AB19" s="16"/>
      <c r="AC19" s="16"/>
      <c r="AD19" s="16"/>
      <c r="AE19" s="16"/>
      <c r="AF19" s="16"/>
      <c r="AG19" s="16"/>
      <c r="AH19" s="16"/>
      <c r="AI19" s="16"/>
      <c r="AJ19" s="16"/>
      <c r="AK19" s="16"/>
      <c r="AL19" s="16"/>
      <c r="AM19" s="16"/>
      <c r="AN19" s="16"/>
      <c r="AO19" s="16"/>
      <c r="AP19" s="16"/>
      <c r="AQ19" s="16"/>
    </row>
    <row r="20" customFormat="false" ht="68.65" hidden="false" customHeight="false" outlineLevel="0" collapsed="false">
      <c r="A20" s="17"/>
      <c r="B20" s="17"/>
      <c r="C20" s="45" t="s">
        <v>105</v>
      </c>
      <c r="D20" s="22"/>
      <c r="E20" s="22"/>
      <c r="F20" s="22"/>
      <c r="G20" s="22" t="n">
        <v>1</v>
      </c>
      <c r="H20" s="26" t="s">
        <v>106</v>
      </c>
      <c r="I20" s="22"/>
      <c r="J20" s="22"/>
      <c r="K20" s="43"/>
      <c r="L20" s="43" t="n">
        <v>1</v>
      </c>
      <c r="M20" s="42" t="s">
        <v>107</v>
      </c>
      <c r="N20" s="22"/>
      <c r="O20" s="22"/>
      <c r="P20" s="22"/>
      <c r="Q20" s="44" t="n">
        <v>1</v>
      </c>
      <c r="R20" s="42" t="s">
        <v>108</v>
      </c>
      <c r="S20" s="22"/>
      <c r="T20" s="22"/>
      <c r="U20" s="22"/>
      <c r="V20" s="22" t="n">
        <v>1</v>
      </c>
      <c r="W20" s="16"/>
      <c r="X20" s="16"/>
      <c r="Y20" s="16"/>
      <c r="Z20" s="16"/>
      <c r="AA20" s="16"/>
      <c r="AB20" s="16"/>
      <c r="AC20" s="16"/>
      <c r="AD20" s="16"/>
      <c r="AE20" s="16"/>
      <c r="AF20" s="16"/>
      <c r="AG20" s="16"/>
      <c r="AH20" s="16"/>
      <c r="AI20" s="16"/>
      <c r="AJ20" s="16"/>
      <c r="AK20" s="16"/>
      <c r="AL20" s="16"/>
      <c r="AM20" s="16"/>
      <c r="AN20" s="16"/>
      <c r="AO20" s="16"/>
      <c r="AP20" s="16"/>
      <c r="AQ20" s="16"/>
    </row>
    <row r="21" customFormat="false" ht="41.75" hidden="false" customHeight="false" outlineLevel="0" collapsed="false">
      <c r="A21" s="17"/>
      <c r="B21" s="17"/>
      <c r="C21" s="47"/>
      <c r="D21" s="47"/>
      <c r="E21" s="47"/>
      <c r="F21" s="47"/>
      <c r="G21" s="47"/>
      <c r="H21" s="42" t="s">
        <v>109</v>
      </c>
      <c r="I21" s="22"/>
      <c r="J21" s="22"/>
      <c r="K21" s="43"/>
      <c r="L21" s="43" t="n">
        <v>1</v>
      </c>
      <c r="M21" s="48" t="s">
        <v>110</v>
      </c>
      <c r="N21" s="22"/>
      <c r="O21" s="22"/>
      <c r="P21" s="22"/>
      <c r="Q21" s="44" t="n">
        <v>1</v>
      </c>
      <c r="R21" s="26" t="s">
        <v>111</v>
      </c>
      <c r="S21" s="22"/>
      <c r="T21" s="22"/>
      <c r="U21" s="22"/>
      <c r="V21" s="22" t="n">
        <v>1</v>
      </c>
      <c r="W21" s="16"/>
      <c r="X21" s="16"/>
      <c r="Y21" s="16"/>
      <c r="Z21" s="16"/>
      <c r="AA21" s="16"/>
      <c r="AB21" s="16"/>
      <c r="AC21" s="16"/>
      <c r="AD21" s="16"/>
      <c r="AE21" s="16"/>
      <c r="AF21" s="16"/>
      <c r="AG21" s="16"/>
      <c r="AH21" s="16"/>
      <c r="AI21" s="16"/>
      <c r="AJ21" s="16"/>
      <c r="AK21" s="16"/>
      <c r="AL21" s="16"/>
      <c r="AM21" s="16"/>
      <c r="AN21" s="16"/>
      <c r="AO21" s="16"/>
      <c r="AP21" s="16"/>
      <c r="AQ21" s="16"/>
    </row>
    <row r="22" customFormat="false" ht="55.2" hidden="false" customHeight="false" outlineLevel="0" collapsed="false">
      <c r="A22" s="17"/>
      <c r="B22" s="17"/>
      <c r="C22" s="17"/>
      <c r="D22" s="47"/>
      <c r="E22" s="47"/>
      <c r="F22" s="47"/>
      <c r="G22" s="47"/>
      <c r="H22" s="42" t="s">
        <v>112</v>
      </c>
      <c r="I22" s="22"/>
      <c r="J22" s="22"/>
      <c r="K22" s="43"/>
      <c r="L22" s="43" t="n">
        <v>1</v>
      </c>
      <c r="M22" s="42" t="s">
        <v>113</v>
      </c>
      <c r="N22" s="22"/>
      <c r="O22" s="22"/>
      <c r="P22" s="22"/>
      <c r="Q22" s="44" t="n">
        <v>1</v>
      </c>
      <c r="R22" s="49"/>
      <c r="S22" s="49"/>
      <c r="T22" s="49"/>
      <c r="U22" s="49"/>
      <c r="V22" s="49"/>
      <c r="W22" s="16"/>
      <c r="X22" s="16"/>
      <c r="Y22" s="16"/>
      <c r="Z22" s="16"/>
      <c r="AA22" s="16"/>
      <c r="AB22" s="16"/>
      <c r="AC22" s="16"/>
      <c r="AD22" s="16"/>
      <c r="AE22" s="16"/>
      <c r="AF22" s="16"/>
      <c r="AG22" s="16"/>
      <c r="AH22" s="16"/>
      <c r="AI22" s="16"/>
      <c r="AJ22" s="16"/>
      <c r="AK22" s="16"/>
      <c r="AL22" s="16"/>
      <c r="AM22" s="16"/>
      <c r="AN22" s="16"/>
      <c r="AO22" s="16"/>
      <c r="AP22" s="16"/>
      <c r="AQ22" s="16"/>
    </row>
    <row r="23" customFormat="false" ht="15.75" hidden="false" customHeight="true" outlineLevel="0" collapsed="false">
      <c r="A23" s="17"/>
      <c r="B23" s="34" t="s">
        <v>88</v>
      </c>
      <c r="C23" s="34"/>
      <c r="D23" s="50" t="e">
        <f aca="false">IF( AND(COUNT(D17:G17)=1,COUNT(D18:G18)=1,COUNT(D19:G19)=1,COUNT(D20:G20)=1), (SUM(F17:F20) + (SUM(E17:E20)/2)) / COUNTBLANK(G17:G20), "Error - check cell values")</f>
        <v>#DIV/0!</v>
      </c>
      <c r="E23" s="50"/>
      <c r="F23" s="51" t="n">
        <f aca="false">COUNTBLANK(G17:G20)</f>
        <v>0</v>
      </c>
      <c r="G23" s="51" t="n">
        <f aca="false">ROWS(G17:G20)</f>
        <v>4</v>
      </c>
      <c r="H23" s="52" t="s">
        <v>88</v>
      </c>
      <c r="I23" s="50" t="e">
        <f aca="false">IF( AND(COUNT(I17:L17)=1,COUNT(I18:L18)=1,COUNT(I19:L19)=1,COUNT(I20:L20)=1,COUNT(I21:L21)=1,COUNT(I22:L22)=1), (SUM(K17:K22) + (SUM(J17:J22)/2)) / COUNTBLANK(L17:L22), "Error - check cell values")</f>
        <v>#DIV/0!</v>
      </c>
      <c r="J23" s="50"/>
      <c r="K23" s="51" t="n">
        <f aca="false">COUNTBLANK(L17:L22)</f>
        <v>0</v>
      </c>
      <c r="L23" s="51" t="n">
        <f aca="false">ROWS(L17:L22)</f>
        <v>6</v>
      </c>
      <c r="M23" s="52" t="s">
        <v>88</v>
      </c>
      <c r="N23" s="50" t="e">
        <f aca="false">IF( AND(COUNT(N17:Q17)=1,COUNT(N18:Q18)=1,COUNT(N19:Q19)=1,COUNT(N20:Q20)=1,COUNT(N21:Q21)=1,COUNT(N22:Q22)=1), (SUM(P17:P22) + (SUM(O17:O22)/2)) / COUNTBLANK(Q17:Q22), "Error - check cell values")</f>
        <v>#DIV/0!</v>
      </c>
      <c r="O23" s="50"/>
      <c r="P23" s="51" t="n">
        <f aca="false">COUNTBLANK(Q17:Q22)</f>
        <v>0</v>
      </c>
      <c r="Q23" s="51" t="n">
        <f aca="false">ROWS(Q17:Q22)</f>
        <v>6</v>
      </c>
      <c r="R23" s="52" t="s">
        <v>88</v>
      </c>
      <c r="S23" s="50" t="e">
        <f aca="false">IF( AND(COUNT(S17:V17)=1,COUNT(S18:V18)=1,COUNT(S19:V19)=1,COUNT(S20:V20)=1,COUNT(S21:V21)=1), (SUM(U17:U21) + (SUM(T17:T21)/2)) / COUNTBLANK(V17:V21), "Error - check cell values")</f>
        <v>#DIV/0!</v>
      </c>
      <c r="T23" s="50"/>
      <c r="U23" s="51" t="n">
        <f aca="false">COUNTBLANK(V17:V21)</f>
        <v>0</v>
      </c>
      <c r="V23" s="51" t="n">
        <f aca="false">ROWS(V17:V21)</f>
        <v>5</v>
      </c>
      <c r="W23" s="53"/>
      <c r="X23" s="53"/>
      <c r="Y23" s="53"/>
      <c r="Z23" s="53"/>
      <c r="AA23" s="53"/>
      <c r="AB23" s="53"/>
      <c r="AC23" s="53"/>
      <c r="AD23" s="53"/>
      <c r="AE23" s="53"/>
      <c r="AF23" s="53"/>
      <c r="AG23" s="53"/>
      <c r="AH23" s="53"/>
      <c r="AI23" s="53"/>
      <c r="AJ23" s="53"/>
      <c r="AK23" s="53"/>
      <c r="AL23" s="53"/>
      <c r="AM23" s="53"/>
      <c r="AN23" s="53"/>
      <c r="AO23" s="53"/>
      <c r="AP23" s="53"/>
      <c r="AQ23" s="53"/>
    </row>
    <row r="24" customFormat="false" ht="41.75" hidden="false" customHeight="false" outlineLevel="0" collapsed="false">
      <c r="A24" s="17"/>
      <c r="B24" s="37"/>
      <c r="C24" s="37"/>
      <c r="D24" s="38" t="s">
        <v>77</v>
      </c>
      <c r="E24" s="38" t="s">
        <v>89</v>
      </c>
      <c r="F24" s="38" t="s">
        <v>78</v>
      </c>
      <c r="G24" s="38" t="s">
        <v>90</v>
      </c>
      <c r="H24" s="39"/>
      <c r="I24" s="38" t="s">
        <v>77</v>
      </c>
      <c r="J24" s="38" t="s">
        <v>89</v>
      </c>
      <c r="K24" s="38" t="s">
        <v>78</v>
      </c>
      <c r="L24" s="38" t="s">
        <v>90</v>
      </c>
      <c r="M24" s="39"/>
      <c r="N24" s="38" t="s">
        <v>77</v>
      </c>
      <c r="O24" s="38" t="s">
        <v>89</v>
      </c>
      <c r="P24" s="38" t="s">
        <v>78</v>
      </c>
      <c r="Q24" s="38" t="s">
        <v>90</v>
      </c>
      <c r="R24" s="39"/>
      <c r="S24" s="38" t="s">
        <v>77</v>
      </c>
      <c r="T24" s="38" t="s">
        <v>89</v>
      </c>
      <c r="U24" s="38" t="s">
        <v>78</v>
      </c>
      <c r="V24" s="38" t="s">
        <v>90</v>
      </c>
      <c r="W24" s="16"/>
      <c r="X24" s="16"/>
      <c r="Y24" s="16"/>
      <c r="Z24" s="16"/>
      <c r="AA24" s="16"/>
      <c r="AB24" s="16"/>
      <c r="AC24" s="16"/>
      <c r="AD24" s="16"/>
      <c r="AE24" s="16"/>
      <c r="AF24" s="16"/>
      <c r="AG24" s="16"/>
      <c r="AH24" s="16"/>
      <c r="AI24" s="16"/>
      <c r="AJ24" s="16"/>
      <c r="AK24" s="16"/>
      <c r="AL24" s="16"/>
      <c r="AM24" s="16"/>
      <c r="AN24" s="16"/>
      <c r="AO24" s="16"/>
      <c r="AP24" s="16"/>
      <c r="AQ24" s="16"/>
    </row>
    <row r="25" customFormat="false" ht="41.75" hidden="false" customHeight="true" outlineLevel="0" collapsed="false">
      <c r="A25" s="17"/>
      <c r="B25" s="40" t="s">
        <v>114</v>
      </c>
      <c r="C25" s="26" t="s">
        <v>115</v>
      </c>
      <c r="D25" s="22"/>
      <c r="E25" s="22"/>
      <c r="F25" s="22"/>
      <c r="G25" s="22" t="n">
        <v>1</v>
      </c>
      <c r="H25" s="42" t="s">
        <v>116</v>
      </c>
      <c r="I25" s="22"/>
      <c r="J25" s="22"/>
      <c r="K25" s="22"/>
      <c r="L25" s="22" t="n">
        <v>1</v>
      </c>
      <c r="M25" s="42" t="s">
        <v>117</v>
      </c>
      <c r="N25" s="22"/>
      <c r="O25" s="22"/>
      <c r="P25" s="22"/>
      <c r="Q25" s="22" t="n">
        <v>1</v>
      </c>
      <c r="R25" s="42" t="s">
        <v>118</v>
      </c>
      <c r="S25" s="22"/>
      <c r="T25" s="22"/>
      <c r="U25" s="22"/>
      <c r="V25" s="22" t="n">
        <v>1</v>
      </c>
      <c r="W25" s="16"/>
      <c r="X25" s="16"/>
      <c r="Y25" s="16"/>
      <c r="Z25" s="16"/>
      <c r="AA25" s="16"/>
      <c r="AB25" s="16"/>
      <c r="AC25" s="16"/>
      <c r="AD25" s="16"/>
      <c r="AE25" s="16"/>
      <c r="AF25" s="16"/>
      <c r="AG25" s="16"/>
      <c r="AH25" s="16"/>
      <c r="AI25" s="16"/>
      <c r="AJ25" s="16"/>
      <c r="AK25" s="16"/>
      <c r="AL25" s="16"/>
      <c r="AM25" s="16"/>
      <c r="AN25" s="16"/>
      <c r="AO25" s="16"/>
      <c r="AP25" s="16"/>
      <c r="AQ25" s="16"/>
    </row>
    <row r="26" customFormat="false" ht="41.75" hidden="false" customHeight="false" outlineLevel="0" collapsed="false">
      <c r="A26" s="17"/>
      <c r="B26" s="17"/>
      <c r="C26" s="42" t="s">
        <v>119</v>
      </c>
      <c r="D26" s="22"/>
      <c r="E26" s="22"/>
      <c r="F26" s="22"/>
      <c r="G26" s="22" t="n">
        <v>1</v>
      </c>
      <c r="H26" s="26" t="s">
        <v>120</v>
      </c>
      <c r="I26" s="22"/>
      <c r="J26" s="22"/>
      <c r="K26" s="22"/>
      <c r="L26" s="22" t="n">
        <v>1</v>
      </c>
      <c r="M26" s="26" t="s">
        <v>121</v>
      </c>
      <c r="N26" s="22"/>
      <c r="O26" s="22"/>
      <c r="P26" s="22"/>
      <c r="Q26" s="22" t="n">
        <v>1</v>
      </c>
      <c r="R26" s="42" t="s">
        <v>122</v>
      </c>
      <c r="S26" s="22"/>
      <c r="T26" s="22"/>
      <c r="U26" s="22"/>
      <c r="V26" s="22" t="n">
        <v>1</v>
      </c>
      <c r="W26" s="16"/>
      <c r="X26" s="16"/>
      <c r="Y26" s="16"/>
      <c r="Z26" s="16"/>
      <c r="AA26" s="16"/>
      <c r="AB26" s="16"/>
      <c r="AC26" s="16"/>
      <c r="AD26" s="16"/>
      <c r="AE26" s="16"/>
      <c r="AF26" s="16"/>
      <c r="AG26" s="16"/>
      <c r="AH26" s="16"/>
      <c r="AI26" s="16"/>
      <c r="AJ26" s="16"/>
      <c r="AK26" s="16"/>
      <c r="AL26" s="16"/>
      <c r="AM26" s="16"/>
      <c r="AN26" s="16"/>
      <c r="AO26" s="16"/>
      <c r="AP26" s="16"/>
      <c r="AQ26" s="16"/>
    </row>
    <row r="27" customFormat="false" ht="15.75" hidden="false" customHeight="false" outlineLevel="0" collapsed="false">
      <c r="A27" s="17"/>
      <c r="B27" s="17"/>
      <c r="C27" s="42" t="s">
        <v>123</v>
      </c>
      <c r="D27" s="22"/>
      <c r="E27" s="22"/>
      <c r="F27" s="22"/>
      <c r="G27" s="22" t="n">
        <v>1</v>
      </c>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row>
    <row r="28" customFormat="false" ht="15.75" hidden="false" customHeight="true" outlineLevel="0" collapsed="false">
      <c r="A28" s="17"/>
      <c r="B28" s="34" t="s">
        <v>88</v>
      </c>
      <c r="C28" s="34"/>
      <c r="D28" s="50" t="e">
        <f aca="false">IF( AND(COUNT(D25:G25)=1,COUNT(D26:G26)=1,COUNT(D27:G27)=1), (SUM(F25:F27) + (SUM(E25:E27)/2)) / COUNTBLANK(G25:G27), "Error - check cell values")</f>
        <v>#DIV/0!</v>
      </c>
      <c r="E28" s="50"/>
      <c r="F28" s="51" t="n">
        <f aca="false">COUNTBLANK(G25:G27)</f>
        <v>0</v>
      </c>
      <c r="G28" s="51" t="n">
        <f aca="false">ROWS(G25:G27)</f>
        <v>3</v>
      </c>
      <c r="H28" s="52" t="s">
        <v>88</v>
      </c>
      <c r="I28" s="50" t="e">
        <f aca="false">IF( AND(COUNT(I25:L25)=1,COUNT(I26:L26)=1), (SUM(K25:K26) + (SUM(J25:J26)/2)) / COUNTBLANK(L25:L26), "Error - check cell values")</f>
        <v>#DIV/0!</v>
      </c>
      <c r="J28" s="50"/>
      <c r="K28" s="51" t="n">
        <f aca="false">COUNTBLANK(L25:L26)</f>
        <v>0</v>
      </c>
      <c r="L28" s="51" t="n">
        <f aca="false">ROWS(L25:L26)</f>
        <v>2</v>
      </c>
      <c r="M28" s="52" t="s">
        <v>88</v>
      </c>
      <c r="N28" s="50" t="e">
        <f aca="false">IF( AND(COUNT(N25:Q25)=1,COUNT(N26:Q26)=1), (SUM(P25:P26) + (SUM(O25:O26)/2)) / COUNTBLANK(Q25:Q26), "Error - check cell values")</f>
        <v>#DIV/0!</v>
      </c>
      <c r="O28" s="50"/>
      <c r="P28" s="51" t="n">
        <f aca="false">COUNTBLANK(Q25:Q26)</f>
        <v>0</v>
      </c>
      <c r="Q28" s="51" t="n">
        <f aca="false">ROWS(Q25:Q26)</f>
        <v>2</v>
      </c>
      <c r="R28" s="52" t="s">
        <v>88</v>
      </c>
      <c r="S28" s="50" t="e">
        <f aca="false">IF( AND(COUNT(S25:V25)=1,COUNT(S26:V26)=1), (SUM(U25:U26) + (SUM(T25:T26)/2)) / COUNTBLANK(V25:V26), "Error - check cell values")</f>
        <v>#DIV/0!</v>
      </c>
      <c r="T28" s="50"/>
      <c r="U28" s="51" t="n">
        <f aca="false">COUNTBLANK(V25:V26)</f>
        <v>0</v>
      </c>
      <c r="V28" s="51" t="n">
        <f aca="false">ROWS(V25:V26)</f>
        <v>2</v>
      </c>
      <c r="W28" s="53"/>
      <c r="X28" s="53"/>
      <c r="Y28" s="53"/>
      <c r="Z28" s="53"/>
      <c r="AA28" s="53"/>
      <c r="AB28" s="53"/>
      <c r="AC28" s="53"/>
      <c r="AD28" s="53"/>
      <c r="AE28" s="53"/>
      <c r="AF28" s="53"/>
      <c r="AG28" s="53"/>
      <c r="AH28" s="53"/>
      <c r="AI28" s="53"/>
      <c r="AJ28" s="53"/>
      <c r="AK28" s="53"/>
      <c r="AL28" s="53"/>
      <c r="AM28" s="53"/>
      <c r="AN28" s="53"/>
      <c r="AO28" s="53"/>
      <c r="AP28" s="53"/>
      <c r="AQ28" s="53"/>
    </row>
    <row r="29" customFormat="false" ht="41.75" hidden="false" customHeight="false" outlineLevel="0" collapsed="false">
      <c r="A29" s="17"/>
      <c r="B29" s="54"/>
      <c r="C29" s="54"/>
      <c r="D29" s="38" t="s">
        <v>77</v>
      </c>
      <c r="E29" s="38" t="s">
        <v>89</v>
      </c>
      <c r="F29" s="38" t="s">
        <v>78</v>
      </c>
      <c r="G29" s="38" t="s">
        <v>90</v>
      </c>
      <c r="H29" s="39"/>
      <c r="I29" s="38" t="s">
        <v>77</v>
      </c>
      <c r="J29" s="38" t="s">
        <v>89</v>
      </c>
      <c r="K29" s="38" t="s">
        <v>78</v>
      </c>
      <c r="L29" s="38" t="s">
        <v>90</v>
      </c>
      <c r="M29" s="39"/>
      <c r="N29" s="38" t="s">
        <v>77</v>
      </c>
      <c r="O29" s="38" t="s">
        <v>89</v>
      </c>
      <c r="P29" s="38" t="s">
        <v>78</v>
      </c>
      <c r="Q29" s="38" t="s">
        <v>90</v>
      </c>
      <c r="R29" s="39"/>
      <c r="S29" s="38" t="s">
        <v>77</v>
      </c>
      <c r="T29" s="38" t="s">
        <v>89</v>
      </c>
      <c r="U29" s="38" t="s">
        <v>78</v>
      </c>
      <c r="V29" s="38" t="s">
        <v>90</v>
      </c>
      <c r="W29" s="16"/>
      <c r="X29" s="16"/>
      <c r="Y29" s="16"/>
      <c r="Z29" s="16"/>
      <c r="AA29" s="16"/>
      <c r="AB29" s="16"/>
      <c r="AC29" s="16"/>
      <c r="AD29" s="16"/>
      <c r="AE29" s="16"/>
      <c r="AF29" s="16"/>
      <c r="AG29" s="16"/>
      <c r="AH29" s="16"/>
      <c r="AI29" s="16"/>
      <c r="AJ29" s="16"/>
      <c r="AK29" s="16"/>
      <c r="AL29" s="16"/>
      <c r="AM29" s="16"/>
      <c r="AN29" s="16"/>
      <c r="AO29" s="16"/>
      <c r="AP29" s="16"/>
      <c r="AQ29" s="16"/>
    </row>
    <row r="30" customFormat="false" ht="55.2" hidden="false" customHeight="true" outlineLevel="0" collapsed="false">
      <c r="A30" s="17"/>
      <c r="B30" s="40" t="s">
        <v>124</v>
      </c>
      <c r="C30" s="26" t="s">
        <v>125</v>
      </c>
      <c r="D30" s="22"/>
      <c r="E30" s="22"/>
      <c r="F30" s="22"/>
      <c r="G30" s="22" t="n">
        <v>1</v>
      </c>
      <c r="H30" s="26" t="s">
        <v>126</v>
      </c>
      <c r="I30" s="22"/>
      <c r="J30" s="22"/>
      <c r="K30" s="22"/>
      <c r="L30" s="22" t="n">
        <v>1</v>
      </c>
      <c r="M30" s="26" t="s">
        <v>127</v>
      </c>
      <c r="N30" s="22"/>
      <c r="O30" s="22"/>
      <c r="P30" s="22"/>
      <c r="Q30" s="22" t="n">
        <v>1</v>
      </c>
      <c r="R30" s="26" t="s">
        <v>128</v>
      </c>
      <c r="S30" s="22"/>
      <c r="T30" s="22"/>
      <c r="U30" s="22"/>
      <c r="V30" s="22" t="n">
        <v>1</v>
      </c>
      <c r="W30" s="16"/>
      <c r="X30" s="16"/>
      <c r="Y30" s="16"/>
      <c r="Z30" s="16"/>
      <c r="AA30" s="16"/>
      <c r="AB30" s="16"/>
      <c r="AC30" s="16"/>
      <c r="AD30" s="16"/>
      <c r="AE30" s="16"/>
      <c r="AF30" s="16"/>
      <c r="AG30" s="16"/>
      <c r="AH30" s="16"/>
      <c r="AI30" s="16"/>
      <c r="AJ30" s="16"/>
      <c r="AK30" s="16"/>
      <c r="AL30" s="16"/>
      <c r="AM30" s="16"/>
      <c r="AN30" s="16"/>
      <c r="AO30" s="16"/>
      <c r="AP30" s="16"/>
      <c r="AQ30" s="16"/>
    </row>
    <row r="31" customFormat="false" ht="82.05" hidden="false" customHeight="false" outlineLevel="0" collapsed="false">
      <c r="A31" s="17"/>
      <c r="B31" s="17"/>
      <c r="C31" s="42" t="s">
        <v>129</v>
      </c>
      <c r="D31" s="22"/>
      <c r="E31" s="22"/>
      <c r="F31" s="22"/>
      <c r="G31" s="22" t="n">
        <v>1</v>
      </c>
      <c r="H31" s="26" t="s">
        <v>130</v>
      </c>
      <c r="I31" s="22"/>
      <c r="J31" s="22"/>
      <c r="K31" s="22"/>
      <c r="L31" s="22" t="n">
        <v>1</v>
      </c>
      <c r="M31" s="26" t="s">
        <v>131</v>
      </c>
      <c r="N31" s="22"/>
      <c r="O31" s="22"/>
      <c r="P31" s="22"/>
      <c r="Q31" s="22" t="n">
        <v>1</v>
      </c>
      <c r="R31" s="26" t="s">
        <v>132</v>
      </c>
      <c r="S31" s="22"/>
      <c r="T31" s="22"/>
      <c r="U31" s="22"/>
      <c r="V31" s="22" t="n">
        <v>1</v>
      </c>
      <c r="W31" s="16"/>
      <c r="X31" s="16"/>
      <c r="Y31" s="16"/>
      <c r="Z31" s="16"/>
      <c r="AA31" s="16"/>
      <c r="AB31" s="16"/>
      <c r="AC31" s="16"/>
      <c r="AD31" s="16"/>
      <c r="AE31" s="16"/>
      <c r="AF31" s="16"/>
      <c r="AG31" s="16"/>
      <c r="AH31" s="16"/>
      <c r="AI31" s="16"/>
      <c r="AJ31" s="16"/>
      <c r="AK31" s="16"/>
      <c r="AL31" s="16"/>
      <c r="AM31" s="16"/>
      <c r="AN31" s="16"/>
      <c r="AO31" s="16"/>
      <c r="AP31" s="16"/>
      <c r="AQ31" s="16"/>
    </row>
    <row r="32" customFormat="false" ht="68.65" hidden="false" customHeight="false" outlineLevel="0" collapsed="false">
      <c r="A32" s="17"/>
      <c r="B32" s="17"/>
      <c r="C32" s="42" t="s">
        <v>133</v>
      </c>
      <c r="D32" s="22"/>
      <c r="E32" s="22"/>
      <c r="F32" s="22"/>
      <c r="G32" s="22" t="n">
        <v>1</v>
      </c>
      <c r="H32" s="26" t="s">
        <v>134</v>
      </c>
      <c r="I32" s="22"/>
      <c r="J32" s="22"/>
      <c r="K32" s="22"/>
      <c r="L32" s="22" t="n">
        <v>1</v>
      </c>
      <c r="M32" s="42" t="s">
        <v>135</v>
      </c>
      <c r="N32" s="22"/>
      <c r="O32" s="22"/>
      <c r="P32" s="22"/>
      <c r="Q32" s="22" t="n">
        <v>1</v>
      </c>
      <c r="R32" s="26" t="s">
        <v>136</v>
      </c>
      <c r="S32" s="22"/>
      <c r="T32" s="22"/>
      <c r="U32" s="22"/>
      <c r="V32" s="22" t="n">
        <v>1</v>
      </c>
      <c r="W32" s="16"/>
      <c r="X32" s="16"/>
      <c r="Y32" s="16"/>
      <c r="Z32" s="16"/>
      <c r="AA32" s="16"/>
      <c r="AB32" s="16"/>
      <c r="AC32" s="16"/>
      <c r="AD32" s="16"/>
      <c r="AE32" s="16"/>
      <c r="AF32" s="16"/>
      <c r="AG32" s="16"/>
      <c r="AH32" s="16"/>
      <c r="AI32" s="16"/>
      <c r="AJ32" s="16"/>
      <c r="AK32" s="16"/>
      <c r="AL32" s="16"/>
      <c r="AM32" s="16"/>
      <c r="AN32" s="16"/>
      <c r="AO32" s="16"/>
      <c r="AP32" s="16"/>
      <c r="AQ32" s="16"/>
    </row>
    <row r="33" customFormat="false" ht="41.75" hidden="false" customHeight="false" outlineLevel="0" collapsed="false">
      <c r="A33" s="17"/>
      <c r="B33" s="17"/>
      <c r="C33" s="42" t="s">
        <v>137</v>
      </c>
      <c r="D33" s="22"/>
      <c r="E33" s="22"/>
      <c r="F33" s="22"/>
      <c r="G33" s="22" t="n">
        <v>1</v>
      </c>
      <c r="H33" s="26" t="s">
        <v>138</v>
      </c>
      <c r="I33" s="22"/>
      <c r="J33" s="22"/>
      <c r="K33" s="22"/>
      <c r="L33" s="22" t="n">
        <v>1</v>
      </c>
      <c r="M33" s="42" t="s">
        <v>139</v>
      </c>
      <c r="N33" s="22"/>
      <c r="O33" s="22"/>
      <c r="P33" s="22"/>
      <c r="Q33" s="22" t="n">
        <v>1</v>
      </c>
      <c r="R33" s="26" t="s">
        <v>140</v>
      </c>
      <c r="S33" s="22"/>
      <c r="T33" s="22"/>
      <c r="U33" s="22"/>
      <c r="V33" s="22" t="n">
        <v>1</v>
      </c>
      <c r="W33" s="16"/>
      <c r="X33" s="16"/>
      <c r="Y33" s="16"/>
      <c r="Z33" s="16"/>
      <c r="AA33" s="16"/>
      <c r="AB33" s="16"/>
      <c r="AC33" s="16"/>
      <c r="AD33" s="16"/>
      <c r="AE33" s="16"/>
      <c r="AF33" s="16"/>
      <c r="AG33" s="16"/>
      <c r="AH33" s="16"/>
      <c r="AI33" s="16"/>
      <c r="AJ33" s="16"/>
      <c r="AK33" s="16"/>
      <c r="AL33" s="16"/>
      <c r="AM33" s="16"/>
      <c r="AN33" s="16"/>
      <c r="AO33" s="16"/>
      <c r="AP33" s="16"/>
      <c r="AQ33" s="16"/>
    </row>
    <row r="34" customFormat="false" ht="41.75" hidden="false" customHeight="false" outlineLevel="0" collapsed="false">
      <c r="A34" s="17"/>
      <c r="B34" s="17"/>
      <c r="C34" s="42" t="s">
        <v>141</v>
      </c>
      <c r="D34" s="22"/>
      <c r="E34" s="22"/>
      <c r="F34" s="22"/>
      <c r="G34" s="22" t="n">
        <v>1</v>
      </c>
      <c r="H34" s="26" t="s">
        <v>142</v>
      </c>
      <c r="I34" s="22"/>
      <c r="J34" s="22"/>
      <c r="K34" s="22"/>
      <c r="L34" s="22" t="n">
        <v>1</v>
      </c>
      <c r="M34" s="42" t="s">
        <v>143</v>
      </c>
      <c r="N34" s="22"/>
      <c r="O34" s="22"/>
      <c r="P34" s="22"/>
      <c r="Q34" s="22" t="n">
        <v>1</v>
      </c>
      <c r="R34" s="26" t="s">
        <v>144</v>
      </c>
      <c r="S34" s="22"/>
      <c r="T34" s="22"/>
      <c r="U34" s="22"/>
      <c r="V34" s="22" t="n">
        <v>1</v>
      </c>
      <c r="W34" s="16"/>
      <c r="X34" s="16"/>
      <c r="Y34" s="16"/>
      <c r="Z34" s="16"/>
      <c r="AA34" s="16"/>
      <c r="AB34" s="16"/>
      <c r="AC34" s="16"/>
      <c r="AD34" s="16"/>
      <c r="AE34" s="16"/>
      <c r="AF34" s="16"/>
      <c r="AG34" s="16"/>
      <c r="AH34" s="16"/>
      <c r="AI34" s="16"/>
      <c r="AJ34" s="16"/>
      <c r="AK34" s="16"/>
      <c r="AL34" s="16"/>
      <c r="AM34" s="16"/>
      <c r="AN34" s="16"/>
      <c r="AO34" s="16"/>
      <c r="AP34" s="16"/>
      <c r="AQ34" s="16"/>
    </row>
    <row r="35" customFormat="false" ht="82.05" hidden="false" customHeight="false" outlineLevel="0" collapsed="false">
      <c r="A35" s="17"/>
      <c r="B35" s="17"/>
      <c r="C35" s="27"/>
      <c r="D35" s="27"/>
      <c r="E35" s="27"/>
      <c r="F35" s="27"/>
      <c r="G35" s="27"/>
      <c r="H35" s="26" t="s">
        <v>145</v>
      </c>
      <c r="I35" s="22"/>
      <c r="J35" s="22"/>
      <c r="K35" s="22"/>
      <c r="L35" s="22" t="n">
        <v>1</v>
      </c>
      <c r="M35" s="42" t="s">
        <v>146</v>
      </c>
      <c r="N35" s="22"/>
      <c r="O35" s="22"/>
      <c r="P35" s="22"/>
      <c r="Q35" s="22" t="n">
        <v>1</v>
      </c>
      <c r="R35" s="55" t="s">
        <v>147</v>
      </c>
      <c r="S35" s="22"/>
      <c r="T35" s="22"/>
      <c r="U35" s="22"/>
      <c r="V35" s="22" t="n">
        <v>1</v>
      </c>
      <c r="W35" s="16"/>
      <c r="X35" s="16"/>
      <c r="Y35" s="16"/>
      <c r="Z35" s="16"/>
      <c r="AA35" s="16"/>
      <c r="AB35" s="16"/>
      <c r="AC35" s="16"/>
      <c r="AD35" s="16"/>
      <c r="AE35" s="16"/>
      <c r="AF35" s="16"/>
      <c r="AG35" s="16"/>
      <c r="AH35" s="16"/>
      <c r="AI35" s="16"/>
      <c r="AJ35" s="16"/>
      <c r="AK35" s="16"/>
      <c r="AL35" s="16"/>
      <c r="AM35" s="16"/>
      <c r="AN35" s="16"/>
      <c r="AO35" s="16"/>
      <c r="AP35" s="16"/>
      <c r="AQ35" s="16"/>
    </row>
    <row r="36" customFormat="false" ht="41.75" hidden="false" customHeight="false" outlineLevel="0" collapsed="false">
      <c r="A36" s="17"/>
      <c r="B36" s="17"/>
      <c r="C36" s="17"/>
      <c r="D36" s="27"/>
      <c r="E36" s="27"/>
      <c r="F36" s="27"/>
      <c r="G36" s="27"/>
      <c r="H36" s="56"/>
      <c r="I36" s="56"/>
      <c r="J36" s="56"/>
      <c r="K36" s="56"/>
      <c r="L36" s="56"/>
      <c r="M36" s="26" t="s">
        <v>148</v>
      </c>
      <c r="N36" s="22"/>
      <c r="O36" s="22"/>
      <c r="P36" s="22"/>
      <c r="Q36" s="22" t="n">
        <v>1</v>
      </c>
      <c r="R36" s="57"/>
      <c r="S36" s="57"/>
      <c r="T36" s="57"/>
      <c r="U36" s="57"/>
      <c r="V36" s="57"/>
      <c r="W36" s="16"/>
      <c r="X36" s="16"/>
      <c r="Y36" s="16"/>
      <c r="Z36" s="16"/>
      <c r="AA36" s="16"/>
      <c r="AB36" s="16"/>
      <c r="AC36" s="16"/>
      <c r="AD36" s="16"/>
      <c r="AE36" s="16"/>
      <c r="AF36" s="16"/>
      <c r="AG36" s="16"/>
      <c r="AH36" s="16"/>
      <c r="AI36" s="16"/>
      <c r="AJ36" s="16"/>
      <c r="AK36" s="16"/>
      <c r="AL36" s="16"/>
      <c r="AM36" s="16"/>
      <c r="AN36" s="16"/>
      <c r="AO36" s="16"/>
      <c r="AP36" s="16"/>
      <c r="AQ36" s="16"/>
    </row>
    <row r="37" customFormat="false" ht="61.15" hidden="false" customHeight="false" outlineLevel="0" collapsed="false">
      <c r="A37" s="17"/>
      <c r="B37" s="17"/>
      <c r="C37" s="17"/>
      <c r="D37" s="27"/>
      <c r="E37" s="27"/>
      <c r="F37" s="27"/>
      <c r="G37" s="27"/>
      <c r="H37" s="56"/>
      <c r="I37" s="56"/>
      <c r="J37" s="56"/>
      <c r="K37" s="56"/>
      <c r="L37" s="56"/>
      <c r="M37" s="58" t="s">
        <v>149</v>
      </c>
      <c r="N37" s="59"/>
      <c r="O37" s="59"/>
      <c r="P37" s="59"/>
      <c r="Q37" s="59" t="n">
        <v>1</v>
      </c>
      <c r="R37" s="57"/>
      <c r="S37" s="57"/>
      <c r="T37" s="57"/>
      <c r="U37" s="57"/>
      <c r="V37" s="57"/>
      <c r="W37" s="16"/>
      <c r="X37" s="16"/>
      <c r="Y37" s="16"/>
      <c r="Z37" s="16"/>
      <c r="AA37" s="16"/>
      <c r="AB37" s="16"/>
      <c r="AC37" s="16"/>
      <c r="AD37" s="16"/>
      <c r="AE37" s="16"/>
      <c r="AF37" s="16"/>
      <c r="AG37" s="16"/>
      <c r="AH37" s="16"/>
      <c r="AI37" s="16"/>
      <c r="AJ37" s="16"/>
      <c r="AK37" s="16"/>
      <c r="AL37" s="16"/>
      <c r="AM37" s="16"/>
      <c r="AN37" s="16"/>
      <c r="AO37" s="16"/>
      <c r="AP37" s="16"/>
      <c r="AQ37" s="16"/>
    </row>
    <row r="38" customFormat="false" ht="31.3" hidden="false" customHeight="false" outlineLevel="0" collapsed="false">
      <c r="A38" s="17"/>
      <c r="B38" s="17"/>
      <c r="C38" s="17"/>
      <c r="D38" s="27"/>
      <c r="E38" s="27"/>
      <c r="F38" s="27"/>
      <c r="G38" s="27"/>
      <c r="H38" s="56"/>
      <c r="I38" s="56"/>
      <c r="J38" s="56"/>
      <c r="K38" s="56"/>
      <c r="L38" s="56"/>
      <c r="M38" s="58" t="s">
        <v>150</v>
      </c>
      <c r="N38" s="59"/>
      <c r="O38" s="59"/>
      <c r="P38" s="59"/>
      <c r="Q38" s="59" t="n">
        <v>1</v>
      </c>
      <c r="R38" s="57"/>
      <c r="S38" s="57"/>
      <c r="T38" s="57"/>
      <c r="U38" s="57"/>
      <c r="V38" s="57"/>
      <c r="W38" s="16"/>
      <c r="X38" s="16"/>
      <c r="Y38" s="16"/>
      <c r="Z38" s="16"/>
      <c r="AA38" s="16"/>
      <c r="AB38" s="16"/>
      <c r="AC38" s="16"/>
      <c r="AD38" s="16"/>
      <c r="AE38" s="16"/>
      <c r="AF38" s="16"/>
      <c r="AG38" s="16"/>
      <c r="AH38" s="16"/>
      <c r="AI38" s="16"/>
      <c r="AJ38" s="16"/>
      <c r="AK38" s="16"/>
      <c r="AL38" s="16"/>
      <c r="AM38" s="16"/>
      <c r="AN38" s="16"/>
      <c r="AO38" s="16"/>
      <c r="AP38" s="16"/>
      <c r="AQ38" s="16"/>
    </row>
    <row r="39" customFormat="false" ht="15.75" hidden="false" customHeight="true" outlineLevel="0" collapsed="false">
      <c r="A39" s="60"/>
      <c r="B39" s="34" t="s">
        <v>88</v>
      </c>
      <c r="C39" s="34"/>
      <c r="D39" s="50" t="e">
        <f aca="false">IF( AND(COUNT(D30:G30)=1,COUNT(D31:G31)=1,COUNT(D32:G32)=1,COUNT(D33:G33)=1,COUNT(D34:G34)=1), (SUM(F30:F34) + (SUM(E30:E34)/2)) / COUNTBLANK(G30:G34), "Error - check cell values")</f>
        <v>#DIV/0!</v>
      </c>
      <c r="E39" s="50"/>
      <c r="F39" s="51" t="n">
        <f aca="false">COUNTBLANK(G30:G34)</f>
        <v>0</v>
      </c>
      <c r="G39" s="51" t="n">
        <f aca="false">ROWS(G30:G34)</f>
        <v>5</v>
      </c>
      <c r="H39" s="52" t="s">
        <v>88</v>
      </c>
      <c r="I39" s="50" t="e">
        <f aca="false">IF( AND(COUNT(I30:L30)=1,COUNT(I31:L31)=1,COUNT(I32:L32)=1,COUNT(I33:L33)=1,COUNT(I34:L34)=1,COUNT(I35:L35)=1), (SUM(K30:K35) + (SUM(J30:J35)/2)) / COUNTBLANK(L30:L35), "Error - check cell values")</f>
        <v>#DIV/0!</v>
      </c>
      <c r="J39" s="50"/>
      <c r="K39" s="51" t="n">
        <f aca="false">COUNTBLANK(L30:L35)</f>
        <v>0</v>
      </c>
      <c r="L39" s="51" t="n">
        <f aca="false">ROWS(L30:L35)</f>
        <v>6</v>
      </c>
      <c r="M39" s="52" t="s">
        <v>88</v>
      </c>
      <c r="N39" s="50" t="e">
        <f aca="false">IF( AND(COUNT(N30:Q30)=1,COUNT(N31:Q31)=1,COUNT(N32:Q32)=1,COUNT(N33:Q33)=1,COUNT(N34:Q34)=1,COUNT(N35:Q35)=1,COUNT(N36:Q36)=1,COUNT(N37:Q37)=1,COUNT(N38:Q38)=1), (SUM(P30:P38) + (SUM(O30:O38)/2)) / COUNTBLANK(Q30:Q38), "Error - check cell values")</f>
        <v>#DIV/0!</v>
      </c>
      <c r="O39" s="50"/>
      <c r="P39" s="51" t="n">
        <f aca="false">COUNTBLANK(Q30:Q38)</f>
        <v>0</v>
      </c>
      <c r="Q39" s="51" t="n">
        <f aca="false">ROWS(Q30:Q38)</f>
        <v>9</v>
      </c>
      <c r="R39" s="61" t="s">
        <v>88</v>
      </c>
      <c r="S39" s="50" t="e">
        <f aca="false">IF( AND(COUNT(S30:V30)=1,COUNT(S31:V31)=1,COUNT(S32:V32)=1,COUNT(S33:V33)=1,COUNT(S34:V34)=1,COUNT(S35:V35)=1), (SUM(U30:U35) + (SUM(T30:T35)/2)) / COUNTBLANK(V30:V35), "Error - check cell values")</f>
        <v>#DIV/0!</v>
      </c>
      <c r="T39" s="50"/>
      <c r="U39" s="51" t="n">
        <f aca="false">COUNTBLANK(V30:V35)</f>
        <v>0</v>
      </c>
      <c r="V39" s="51" t="n">
        <f aca="false">ROWS(V30:V35)</f>
        <v>6</v>
      </c>
      <c r="W39" s="16"/>
      <c r="X39" s="16"/>
      <c r="Y39" s="16"/>
      <c r="Z39" s="16"/>
      <c r="AA39" s="16"/>
      <c r="AB39" s="16"/>
      <c r="AC39" s="16"/>
      <c r="AD39" s="16"/>
      <c r="AE39" s="16"/>
      <c r="AF39" s="16"/>
      <c r="AG39" s="16"/>
      <c r="AH39" s="16"/>
      <c r="AI39" s="16"/>
      <c r="AJ39" s="16"/>
      <c r="AK39" s="16"/>
      <c r="AL39" s="16"/>
      <c r="AM39" s="16"/>
      <c r="AN39" s="16"/>
      <c r="AO39" s="16"/>
      <c r="AP39" s="16"/>
      <c r="AQ39" s="16"/>
    </row>
    <row r="40" customFormat="false" ht="41.75" hidden="false" customHeight="false" outlineLevel="0" collapsed="false">
      <c r="A40" s="62"/>
      <c r="B40" s="63"/>
      <c r="C40" s="63"/>
      <c r="D40" s="38" t="s">
        <v>77</v>
      </c>
      <c r="E40" s="38" t="s">
        <v>89</v>
      </c>
      <c r="F40" s="38" t="s">
        <v>78</v>
      </c>
      <c r="G40" s="38" t="s">
        <v>90</v>
      </c>
      <c r="H40" s="39"/>
      <c r="I40" s="38" t="s">
        <v>77</v>
      </c>
      <c r="J40" s="38" t="s">
        <v>89</v>
      </c>
      <c r="K40" s="38" t="s">
        <v>78</v>
      </c>
      <c r="L40" s="38" t="s">
        <v>90</v>
      </c>
      <c r="M40" s="39"/>
      <c r="N40" s="38" t="s">
        <v>77</v>
      </c>
      <c r="O40" s="38" t="s">
        <v>89</v>
      </c>
      <c r="P40" s="38" t="s">
        <v>78</v>
      </c>
      <c r="Q40" s="38" t="s">
        <v>90</v>
      </c>
      <c r="R40" s="39"/>
      <c r="S40" s="38" t="s">
        <v>77</v>
      </c>
      <c r="T40" s="38" t="s">
        <v>89</v>
      </c>
      <c r="U40" s="38" t="s">
        <v>78</v>
      </c>
      <c r="V40" s="38" t="s">
        <v>90</v>
      </c>
      <c r="W40" s="16"/>
      <c r="X40" s="16"/>
      <c r="Y40" s="16"/>
      <c r="Z40" s="16"/>
      <c r="AA40" s="16"/>
      <c r="AB40" s="16"/>
      <c r="AC40" s="16"/>
      <c r="AD40" s="16"/>
      <c r="AE40" s="16"/>
      <c r="AF40" s="16"/>
      <c r="AG40" s="16"/>
      <c r="AH40" s="16"/>
      <c r="AI40" s="16"/>
      <c r="AJ40" s="16"/>
      <c r="AK40" s="16"/>
      <c r="AL40" s="16"/>
      <c r="AM40" s="16"/>
      <c r="AN40" s="16"/>
      <c r="AO40" s="16"/>
      <c r="AP40" s="16"/>
      <c r="AQ40" s="16"/>
    </row>
    <row r="41" customFormat="false" ht="68.65" hidden="false" customHeight="true" outlineLevel="0" collapsed="false">
      <c r="A41" s="17" t="s">
        <v>151</v>
      </c>
      <c r="B41" s="40" t="s">
        <v>152</v>
      </c>
      <c r="C41" s="42" t="s">
        <v>153</v>
      </c>
      <c r="D41" s="22"/>
      <c r="E41" s="22"/>
      <c r="F41" s="22"/>
      <c r="G41" s="22" t="n">
        <v>1</v>
      </c>
      <c r="H41" s="26" t="s">
        <v>154</v>
      </c>
      <c r="I41" s="22"/>
      <c r="J41" s="22"/>
      <c r="K41" s="22"/>
      <c r="L41" s="22" t="n">
        <v>1</v>
      </c>
      <c r="M41" s="26" t="s">
        <v>155</v>
      </c>
      <c r="N41" s="22"/>
      <c r="O41" s="22"/>
      <c r="P41" s="22"/>
      <c r="Q41" s="22" t="n">
        <v>1</v>
      </c>
      <c r="R41" s="26" t="s">
        <v>156</v>
      </c>
      <c r="S41" s="22"/>
      <c r="T41" s="22"/>
      <c r="U41" s="22"/>
      <c r="V41" s="22" t="n">
        <v>1</v>
      </c>
      <c r="W41" s="16"/>
      <c r="X41" s="16"/>
      <c r="Y41" s="16"/>
      <c r="Z41" s="16"/>
      <c r="AA41" s="16"/>
      <c r="AB41" s="16"/>
      <c r="AC41" s="16"/>
      <c r="AD41" s="16"/>
      <c r="AE41" s="16"/>
      <c r="AF41" s="16"/>
      <c r="AG41" s="16"/>
      <c r="AH41" s="16"/>
      <c r="AI41" s="16"/>
      <c r="AJ41" s="16"/>
      <c r="AK41" s="16"/>
      <c r="AL41" s="16"/>
      <c r="AM41" s="16"/>
      <c r="AN41" s="16"/>
      <c r="AO41" s="16"/>
      <c r="AP41" s="16"/>
      <c r="AQ41" s="16"/>
    </row>
    <row r="42" customFormat="false" ht="55.2" hidden="false" customHeight="false" outlineLevel="0" collapsed="false">
      <c r="A42" s="17"/>
      <c r="B42" s="17"/>
      <c r="C42" s="42" t="s">
        <v>157</v>
      </c>
      <c r="D42" s="22"/>
      <c r="E42" s="22"/>
      <c r="F42" s="22"/>
      <c r="G42" s="22" t="n">
        <v>1</v>
      </c>
      <c r="H42" s="26" t="s">
        <v>158</v>
      </c>
      <c r="I42" s="22"/>
      <c r="J42" s="22"/>
      <c r="K42" s="22"/>
      <c r="L42" s="22" t="n">
        <v>1</v>
      </c>
      <c r="M42" s="26" t="s">
        <v>159</v>
      </c>
      <c r="N42" s="22"/>
      <c r="O42" s="22"/>
      <c r="P42" s="22"/>
      <c r="Q42" s="22" t="n">
        <v>1</v>
      </c>
      <c r="R42" s="46" t="s">
        <v>160</v>
      </c>
      <c r="S42" s="22"/>
      <c r="T42" s="22"/>
      <c r="U42" s="22"/>
      <c r="V42" s="22" t="n">
        <v>1</v>
      </c>
      <c r="W42" s="16"/>
      <c r="X42" s="16"/>
      <c r="Y42" s="16"/>
      <c r="Z42" s="16"/>
      <c r="AA42" s="16"/>
      <c r="AB42" s="16"/>
      <c r="AC42" s="16"/>
      <c r="AD42" s="16"/>
      <c r="AE42" s="16"/>
      <c r="AF42" s="16"/>
      <c r="AG42" s="16"/>
      <c r="AH42" s="16"/>
      <c r="AI42" s="16"/>
      <c r="AJ42" s="16"/>
      <c r="AK42" s="16"/>
      <c r="AL42" s="16"/>
      <c r="AM42" s="16"/>
      <c r="AN42" s="16"/>
      <c r="AO42" s="16"/>
      <c r="AP42" s="16"/>
      <c r="AQ42" s="16"/>
    </row>
    <row r="43" customFormat="false" ht="30" hidden="false" customHeight="true" outlineLevel="0" collapsed="false">
      <c r="A43" s="17"/>
      <c r="B43" s="17"/>
      <c r="C43" s="27"/>
      <c r="D43" s="27"/>
      <c r="E43" s="27"/>
      <c r="F43" s="27"/>
      <c r="G43" s="27"/>
      <c r="H43" s="26" t="s">
        <v>161</v>
      </c>
      <c r="I43" s="22"/>
      <c r="J43" s="22"/>
      <c r="K43" s="22"/>
      <c r="L43" s="22" t="n">
        <v>1</v>
      </c>
      <c r="M43" s="26" t="s">
        <v>162</v>
      </c>
      <c r="N43" s="22"/>
      <c r="O43" s="22"/>
      <c r="P43" s="22"/>
      <c r="Q43" s="22" t="n">
        <v>1</v>
      </c>
      <c r="R43" s="26" t="s">
        <v>163</v>
      </c>
      <c r="S43" s="22"/>
      <c r="T43" s="22"/>
      <c r="U43" s="22"/>
      <c r="V43" s="22" t="n">
        <v>1</v>
      </c>
      <c r="W43" s="16"/>
      <c r="X43" s="16"/>
      <c r="Y43" s="16"/>
      <c r="Z43" s="16"/>
      <c r="AA43" s="16"/>
      <c r="AB43" s="16"/>
      <c r="AC43" s="16"/>
      <c r="AD43" s="16"/>
      <c r="AE43" s="16"/>
      <c r="AF43" s="16"/>
      <c r="AG43" s="16"/>
      <c r="AH43" s="16"/>
      <c r="AI43" s="16"/>
      <c r="AJ43" s="16"/>
      <c r="AK43" s="16"/>
      <c r="AL43" s="16"/>
      <c r="AM43" s="16"/>
      <c r="AN43" s="16"/>
      <c r="AO43" s="16"/>
      <c r="AP43" s="16"/>
      <c r="AQ43" s="16"/>
    </row>
    <row r="44" customFormat="false" ht="30" hidden="false" customHeight="true" outlineLevel="0" collapsed="false">
      <c r="A44" s="17"/>
      <c r="B44" s="17"/>
      <c r="C44" s="17"/>
      <c r="D44" s="27"/>
      <c r="E44" s="27"/>
      <c r="F44" s="27"/>
      <c r="G44" s="27"/>
      <c r="H44" s="27"/>
      <c r="I44" s="27"/>
      <c r="J44" s="27"/>
      <c r="K44" s="27"/>
      <c r="L44" s="27"/>
      <c r="M44" s="26" t="s">
        <v>164</v>
      </c>
      <c r="N44" s="22"/>
      <c r="O44" s="22"/>
      <c r="P44" s="22"/>
      <c r="Q44" s="22" t="n">
        <v>1</v>
      </c>
      <c r="R44" s="26" t="s">
        <v>165</v>
      </c>
      <c r="S44" s="22"/>
      <c r="T44" s="22"/>
      <c r="U44" s="22"/>
      <c r="V44" s="22" t="n">
        <v>1</v>
      </c>
      <c r="W44" s="16"/>
      <c r="X44" s="16"/>
      <c r="Y44" s="16"/>
      <c r="Z44" s="16"/>
      <c r="AA44" s="16"/>
      <c r="AB44" s="16"/>
      <c r="AC44" s="16"/>
      <c r="AD44" s="16"/>
      <c r="AE44" s="16"/>
      <c r="AF44" s="16"/>
      <c r="AG44" s="16"/>
      <c r="AH44" s="16"/>
      <c r="AI44" s="16"/>
      <c r="AJ44" s="16"/>
      <c r="AK44" s="16"/>
      <c r="AL44" s="16"/>
      <c r="AM44" s="16"/>
      <c r="AN44" s="16"/>
      <c r="AO44" s="16"/>
      <c r="AP44" s="16"/>
      <c r="AQ44" s="16"/>
    </row>
    <row r="45" customFormat="false" ht="30.75" hidden="false" customHeight="true" outlineLevel="0" collapsed="false">
      <c r="A45" s="17"/>
      <c r="B45" s="17"/>
      <c r="C45" s="17"/>
      <c r="D45" s="27"/>
      <c r="E45" s="27"/>
      <c r="F45" s="27"/>
      <c r="G45" s="27"/>
      <c r="H45" s="27"/>
      <c r="I45" s="27"/>
      <c r="J45" s="27"/>
      <c r="K45" s="27"/>
      <c r="L45" s="27"/>
      <c r="M45" s="26" t="s">
        <v>166</v>
      </c>
      <c r="N45" s="22"/>
      <c r="O45" s="22"/>
      <c r="P45" s="22"/>
      <c r="Q45" s="22" t="n">
        <v>1</v>
      </c>
      <c r="R45" s="26" t="s">
        <v>167</v>
      </c>
      <c r="S45" s="22"/>
      <c r="T45" s="22"/>
      <c r="U45" s="22"/>
      <c r="V45" s="22" t="n">
        <v>1</v>
      </c>
      <c r="W45" s="16"/>
      <c r="X45" s="16"/>
      <c r="Y45" s="16"/>
      <c r="Z45" s="16"/>
      <c r="AA45" s="16"/>
      <c r="AB45" s="16"/>
      <c r="AC45" s="16"/>
      <c r="AD45" s="16"/>
      <c r="AE45" s="16"/>
      <c r="AF45" s="16"/>
      <c r="AG45" s="16"/>
      <c r="AH45" s="16"/>
      <c r="AI45" s="16"/>
      <c r="AJ45" s="16"/>
      <c r="AK45" s="16"/>
      <c r="AL45" s="16"/>
      <c r="AM45" s="16"/>
      <c r="AN45" s="16"/>
      <c r="AO45" s="16"/>
      <c r="AP45" s="16"/>
      <c r="AQ45" s="16"/>
    </row>
    <row r="46" customFormat="false" ht="61.15" hidden="false" customHeight="false" outlineLevel="0" collapsed="false">
      <c r="A46" s="17"/>
      <c r="B46" s="17"/>
      <c r="C46" s="17"/>
      <c r="D46" s="27"/>
      <c r="E46" s="27"/>
      <c r="F46" s="27"/>
      <c r="G46" s="27"/>
      <c r="H46" s="27"/>
      <c r="I46" s="27"/>
      <c r="J46" s="27"/>
      <c r="K46" s="27"/>
      <c r="L46" s="27"/>
      <c r="M46" s="58" t="s">
        <v>168</v>
      </c>
      <c r="N46" s="59"/>
      <c r="O46" s="59"/>
      <c r="P46" s="59"/>
      <c r="Q46" s="59" t="n">
        <v>1</v>
      </c>
      <c r="R46" s="26" t="s">
        <v>169</v>
      </c>
      <c r="S46" s="22"/>
      <c r="T46" s="22"/>
      <c r="U46" s="22"/>
      <c r="V46" s="22" t="n">
        <v>1</v>
      </c>
      <c r="W46" s="16"/>
      <c r="X46" s="16"/>
      <c r="Y46" s="16"/>
      <c r="Z46" s="16"/>
      <c r="AA46" s="16"/>
      <c r="AB46" s="16"/>
      <c r="AC46" s="16"/>
      <c r="AD46" s="16"/>
      <c r="AE46" s="16"/>
      <c r="AF46" s="16"/>
      <c r="AG46" s="16"/>
      <c r="AH46" s="16"/>
      <c r="AI46" s="16"/>
      <c r="AJ46" s="16"/>
      <c r="AK46" s="16"/>
      <c r="AL46" s="16"/>
      <c r="AM46" s="16"/>
      <c r="AN46" s="16"/>
      <c r="AO46" s="16"/>
      <c r="AP46" s="16"/>
      <c r="AQ46" s="16"/>
    </row>
    <row r="47" customFormat="false" ht="15.75" hidden="false" customHeight="true" outlineLevel="0" collapsed="false">
      <c r="A47" s="52"/>
      <c r="B47" s="34" t="s">
        <v>88</v>
      </c>
      <c r="C47" s="34"/>
      <c r="D47" s="50" t="e">
        <f aca="false">IF( AND(COUNT(D41:G41)=1,COUNT(D42:G42)=1), (SUM(F41:F42) + (SUM(E41:E42)/2)) / COUNTBLANK(G41:G42), "Error - check cell values")</f>
        <v>#DIV/0!</v>
      </c>
      <c r="E47" s="50"/>
      <c r="F47" s="51" t="n">
        <f aca="false">COUNTBLANK(G41:G42)</f>
        <v>0</v>
      </c>
      <c r="G47" s="51" t="n">
        <f aca="false">ROWS(G41:G42)</f>
        <v>2</v>
      </c>
      <c r="H47" s="52" t="s">
        <v>88</v>
      </c>
      <c r="I47" s="50" t="e">
        <f aca="false">IF( AND(COUNT(I41:L41)=1,COUNT(I42:L42)=1,COUNT(I43:L43)=1), (SUM(K41:K43) + (SUM(J41:J43)/2)) / COUNTBLANK(L41:L43), "Error - check cell values")</f>
        <v>#DIV/0!</v>
      </c>
      <c r="J47" s="50"/>
      <c r="K47" s="51" t="n">
        <f aca="false">COUNTBLANK(L41:L43)</f>
        <v>0</v>
      </c>
      <c r="L47" s="51" t="n">
        <f aca="false">ROWS(L41:L43)</f>
        <v>3</v>
      </c>
      <c r="M47" s="52" t="s">
        <v>88</v>
      </c>
      <c r="N47" s="50" t="e">
        <f aca="false">IF( AND(COUNT(N41:Q41)=1,COUNT(N42:Q42)=1,COUNT(N43:Q43)=1,COUNT(N44:Q44)=1,COUNT(N45:Q45)=1,COUNT(N46:Q46)=1), (SUM(P41:P46) + (SUM(O41:O46)/2)) / COUNTBLANK(Q41:Q46), "Error - check cell values")</f>
        <v>#DIV/0!</v>
      </c>
      <c r="O47" s="50"/>
      <c r="P47" s="51" t="n">
        <f aca="false">COUNTBLANK(Q41:Q46)</f>
        <v>0</v>
      </c>
      <c r="Q47" s="51" t="n">
        <f aca="false">ROWS(Q41:Q46)</f>
        <v>6</v>
      </c>
      <c r="R47" s="61" t="s">
        <v>88</v>
      </c>
      <c r="S47" s="50" t="e">
        <f aca="false">IF( AND(COUNT(S41:V41)=1,COUNT(S42:V42)=1,COUNT(S43:V43)=1,COUNT(S44:V44)=1,COUNT(S45:V45)=1,COUNT(S46:V46)=1), (SUM(U41:U46) + (SUM(T41:T46)/2)) / COUNTBLANK(V41:V46), "Error - check cell values")</f>
        <v>#DIV/0!</v>
      </c>
      <c r="T47" s="50"/>
      <c r="U47" s="51" t="n">
        <f aca="false">COUNTBLANK(V41:V46)</f>
        <v>0</v>
      </c>
      <c r="V47" s="51" t="n">
        <f aca="false">ROWS(V41:V46)</f>
        <v>6</v>
      </c>
      <c r="W47" s="16"/>
      <c r="X47" s="16"/>
      <c r="Y47" s="16"/>
      <c r="Z47" s="16"/>
      <c r="AA47" s="16"/>
      <c r="AB47" s="16"/>
      <c r="AC47" s="16"/>
      <c r="AD47" s="16"/>
      <c r="AE47" s="16"/>
      <c r="AF47" s="16"/>
      <c r="AG47" s="16"/>
      <c r="AH47" s="16"/>
      <c r="AI47" s="16"/>
      <c r="AJ47" s="16"/>
      <c r="AK47" s="16"/>
      <c r="AL47" s="16"/>
      <c r="AM47" s="16"/>
      <c r="AN47" s="16"/>
      <c r="AO47" s="16"/>
      <c r="AP47" s="16"/>
      <c r="AQ47" s="16"/>
    </row>
    <row r="48" customFormat="false" ht="41.75" hidden="false" customHeight="false" outlineLevel="0" collapsed="false">
      <c r="A48" s="38"/>
      <c r="B48" s="54"/>
      <c r="C48" s="54"/>
      <c r="D48" s="38" t="s">
        <v>77</v>
      </c>
      <c r="E48" s="38" t="s">
        <v>89</v>
      </c>
      <c r="F48" s="38" t="s">
        <v>78</v>
      </c>
      <c r="G48" s="38" t="s">
        <v>90</v>
      </c>
      <c r="H48" s="39"/>
      <c r="I48" s="38" t="s">
        <v>77</v>
      </c>
      <c r="J48" s="38" t="s">
        <v>89</v>
      </c>
      <c r="K48" s="38" t="s">
        <v>78</v>
      </c>
      <c r="L48" s="38" t="s">
        <v>90</v>
      </c>
      <c r="M48" s="39"/>
      <c r="N48" s="38" t="s">
        <v>77</v>
      </c>
      <c r="O48" s="38" t="s">
        <v>89</v>
      </c>
      <c r="P48" s="38" t="s">
        <v>78</v>
      </c>
      <c r="Q48" s="38" t="s">
        <v>90</v>
      </c>
      <c r="R48" s="39"/>
      <c r="S48" s="38" t="s">
        <v>77</v>
      </c>
      <c r="T48" s="38" t="s">
        <v>89</v>
      </c>
      <c r="U48" s="38" t="s">
        <v>78</v>
      </c>
      <c r="V48" s="38" t="s">
        <v>90</v>
      </c>
      <c r="W48" s="16"/>
      <c r="X48" s="16"/>
      <c r="Y48" s="16"/>
      <c r="Z48" s="16"/>
      <c r="AA48" s="16"/>
      <c r="AB48" s="16"/>
      <c r="AC48" s="16"/>
      <c r="AD48" s="16"/>
      <c r="AE48" s="16"/>
      <c r="AF48" s="16"/>
      <c r="AG48" s="16"/>
      <c r="AH48" s="16"/>
      <c r="AI48" s="16"/>
      <c r="AJ48" s="16"/>
      <c r="AK48" s="16"/>
      <c r="AL48" s="16"/>
      <c r="AM48" s="16"/>
      <c r="AN48" s="16"/>
      <c r="AO48" s="16"/>
      <c r="AP48" s="16"/>
      <c r="AQ48" s="16"/>
    </row>
    <row r="49" customFormat="false" ht="41.75" hidden="false" customHeight="true" outlineLevel="0" collapsed="false">
      <c r="A49" s="17" t="s">
        <v>170</v>
      </c>
      <c r="B49" s="28" t="s">
        <v>171</v>
      </c>
      <c r="C49" s="26" t="s">
        <v>172</v>
      </c>
      <c r="D49" s="22"/>
      <c r="E49" s="22"/>
      <c r="F49" s="22"/>
      <c r="G49" s="22" t="n">
        <v>1</v>
      </c>
      <c r="H49" s="26" t="s">
        <v>173</v>
      </c>
      <c r="I49" s="22"/>
      <c r="J49" s="22"/>
      <c r="K49" s="22"/>
      <c r="L49" s="22" t="n">
        <v>1</v>
      </c>
      <c r="M49" s="26" t="s">
        <v>174</v>
      </c>
      <c r="N49" s="22"/>
      <c r="O49" s="22"/>
      <c r="P49" s="22"/>
      <c r="Q49" s="22" t="n">
        <v>1</v>
      </c>
      <c r="R49" s="46" t="s">
        <v>175</v>
      </c>
      <c r="S49" s="22"/>
      <c r="T49" s="22"/>
      <c r="U49" s="22"/>
      <c r="V49" s="22" t="n">
        <v>1</v>
      </c>
      <c r="W49" s="16"/>
      <c r="X49" s="16"/>
      <c r="Y49" s="16"/>
      <c r="Z49" s="16"/>
      <c r="AA49" s="16"/>
      <c r="AB49" s="16"/>
      <c r="AC49" s="16"/>
      <c r="AD49" s="16"/>
      <c r="AE49" s="16"/>
      <c r="AF49" s="16"/>
      <c r="AG49" s="16"/>
      <c r="AH49" s="16"/>
      <c r="AI49" s="16"/>
      <c r="AJ49" s="16"/>
      <c r="AK49" s="16"/>
      <c r="AL49" s="16"/>
      <c r="AM49" s="16"/>
      <c r="AN49" s="16"/>
      <c r="AO49" s="16"/>
      <c r="AP49" s="16"/>
      <c r="AQ49" s="16"/>
    </row>
    <row r="50" customFormat="false" ht="55.2" hidden="false" customHeight="false" outlineLevel="0" collapsed="false">
      <c r="A50" s="17"/>
      <c r="B50" s="17"/>
      <c r="C50" s="26" t="s">
        <v>176</v>
      </c>
      <c r="D50" s="22"/>
      <c r="E50" s="22"/>
      <c r="F50" s="22"/>
      <c r="G50" s="22" t="n">
        <v>1</v>
      </c>
      <c r="H50" s="26" t="s">
        <v>177</v>
      </c>
      <c r="I50" s="22"/>
      <c r="J50" s="22"/>
      <c r="K50" s="22"/>
      <c r="L50" s="22" t="n">
        <v>1</v>
      </c>
      <c r="M50" s="26" t="s">
        <v>178</v>
      </c>
      <c r="N50" s="22"/>
      <c r="O50" s="22"/>
      <c r="P50" s="22"/>
      <c r="Q50" s="22" t="n">
        <v>1</v>
      </c>
      <c r="R50" s="46" t="s">
        <v>179</v>
      </c>
      <c r="S50" s="22"/>
      <c r="T50" s="22"/>
      <c r="U50" s="22"/>
      <c r="V50" s="22" t="n">
        <v>1</v>
      </c>
      <c r="W50" s="16"/>
      <c r="X50" s="16"/>
      <c r="Y50" s="16"/>
      <c r="Z50" s="16"/>
      <c r="AA50" s="16"/>
      <c r="AB50" s="16"/>
      <c r="AC50" s="16"/>
      <c r="AD50" s="16"/>
      <c r="AE50" s="16"/>
      <c r="AF50" s="16"/>
      <c r="AG50" s="16"/>
      <c r="AH50" s="16"/>
      <c r="AI50" s="16"/>
      <c r="AJ50" s="16"/>
      <c r="AK50" s="16"/>
      <c r="AL50" s="16"/>
      <c r="AM50" s="16"/>
      <c r="AN50" s="16"/>
      <c r="AO50" s="16"/>
      <c r="AP50" s="16"/>
      <c r="AQ50" s="16"/>
    </row>
    <row r="51" customFormat="false" ht="55.2" hidden="false" customHeight="false" outlineLevel="0" collapsed="false">
      <c r="A51" s="17"/>
      <c r="B51" s="17"/>
      <c r="C51" s="26" t="s">
        <v>180</v>
      </c>
      <c r="D51" s="22"/>
      <c r="E51" s="22"/>
      <c r="F51" s="22"/>
      <c r="G51" s="22" t="n">
        <v>1</v>
      </c>
      <c r="H51" s="26" t="s">
        <v>181</v>
      </c>
      <c r="I51" s="22"/>
      <c r="J51" s="22"/>
      <c r="K51" s="22"/>
      <c r="L51" s="22" t="n">
        <v>1</v>
      </c>
      <c r="M51" s="26" t="s">
        <v>182</v>
      </c>
      <c r="N51" s="22"/>
      <c r="O51" s="22"/>
      <c r="P51" s="22"/>
      <c r="Q51" s="22" t="n">
        <v>1</v>
      </c>
      <c r="R51" s="26" t="s">
        <v>183</v>
      </c>
      <c r="S51" s="22"/>
      <c r="T51" s="22"/>
      <c r="U51" s="22"/>
      <c r="V51" s="22" t="n">
        <v>1</v>
      </c>
      <c r="W51" s="16"/>
      <c r="X51" s="16"/>
      <c r="Y51" s="16"/>
      <c r="Z51" s="16"/>
      <c r="AA51" s="16"/>
      <c r="AB51" s="16"/>
      <c r="AC51" s="16"/>
      <c r="AD51" s="16"/>
      <c r="AE51" s="16"/>
      <c r="AF51" s="16"/>
      <c r="AG51" s="16"/>
      <c r="AH51" s="16"/>
      <c r="AI51" s="16"/>
      <c r="AJ51" s="16"/>
      <c r="AK51" s="16"/>
      <c r="AL51" s="16"/>
      <c r="AM51" s="16"/>
      <c r="AN51" s="16"/>
      <c r="AO51" s="16"/>
      <c r="AP51" s="16"/>
      <c r="AQ51" s="16"/>
    </row>
    <row r="52" customFormat="false" ht="55.2" hidden="false" customHeight="false" outlineLevel="0" collapsed="false">
      <c r="A52" s="17"/>
      <c r="B52" s="17"/>
      <c r="C52" s="26" t="s">
        <v>184</v>
      </c>
      <c r="D52" s="22"/>
      <c r="E52" s="22"/>
      <c r="F52" s="22"/>
      <c r="G52" s="22" t="n">
        <v>1</v>
      </c>
      <c r="H52" s="26" t="s">
        <v>185</v>
      </c>
      <c r="I52" s="22"/>
      <c r="J52" s="22"/>
      <c r="K52" s="22"/>
      <c r="L52" s="22" t="n">
        <v>1</v>
      </c>
      <c r="M52" s="26" t="s">
        <v>186</v>
      </c>
      <c r="N52" s="22"/>
      <c r="O52" s="22"/>
      <c r="P52" s="22"/>
      <c r="Q52" s="22" t="n">
        <v>1</v>
      </c>
      <c r="R52" s="26" t="s">
        <v>187</v>
      </c>
      <c r="S52" s="22"/>
      <c r="T52" s="22"/>
      <c r="U52" s="22"/>
      <c r="V52" s="22" t="n">
        <v>1</v>
      </c>
      <c r="W52" s="16"/>
      <c r="X52" s="16"/>
      <c r="Y52" s="16"/>
      <c r="Z52" s="16"/>
      <c r="AA52" s="16"/>
      <c r="AB52" s="16"/>
      <c r="AC52" s="16"/>
      <c r="AD52" s="16"/>
      <c r="AE52" s="16"/>
      <c r="AF52" s="16"/>
      <c r="AG52" s="16"/>
      <c r="AH52" s="16"/>
      <c r="AI52" s="16"/>
      <c r="AJ52" s="16"/>
      <c r="AK52" s="16"/>
      <c r="AL52" s="16"/>
      <c r="AM52" s="16"/>
      <c r="AN52" s="16"/>
      <c r="AO52" s="16"/>
      <c r="AP52" s="16"/>
      <c r="AQ52" s="16"/>
    </row>
    <row r="53" customFormat="false" ht="41.75" hidden="false" customHeight="false" outlineLevel="0" collapsed="false">
      <c r="A53" s="17"/>
      <c r="B53" s="17"/>
      <c r="C53" s="27"/>
      <c r="D53" s="27"/>
      <c r="E53" s="27"/>
      <c r="F53" s="27"/>
      <c r="G53" s="27"/>
      <c r="H53" s="26" t="s">
        <v>188</v>
      </c>
      <c r="I53" s="22"/>
      <c r="J53" s="22"/>
      <c r="K53" s="22"/>
      <c r="L53" s="22" t="n">
        <v>1</v>
      </c>
      <c r="M53" s="26" t="s">
        <v>189</v>
      </c>
      <c r="N53" s="22"/>
      <c r="O53" s="22"/>
      <c r="P53" s="22"/>
      <c r="Q53" s="22" t="n">
        <v>1</v>
      </c>
      <c r="R53" s="26" t="s">
        <v>189</v>
      </c>
      <c r="S53" s="22"/>
      <c r="T53" s="22"/>
      <c r="U53" s="22"/>
      <c r="V53" s="22" t="n">
        <v>1</v>
      </c>
      <c r="W53" s="16"/>
      <c r="X53" s="16"/>
      <c r="Y53" s="16"/>
      <c r="Z53" s="16"/>
      <c r="AA53" s="16"/>
      <c r="AB53" s="16"/>
      <c r="AC53" s="16"/>
      <c r="AD53" s="16"/>
      <c r="AE53" s="16"/>
      <c r="AF53" s="16"/>
      <c r="AG53" s="16"/>
      <c r="AH53" s="16"/>
      <c r="AI53" s="16"/>
      <c r="AJ53" s="16"/>
      <c r="AK53" s="16"/>
      <c r="AL53" s="16"/>
      <c r="AM53" s="16"/>
      <c r="AN53" s="16"/>
      <c r="AO53" s="16"/>
      <c r="AP53" s="16"/>
      <c r="AQ53" s="16"/>
    </row>
    <row r="54" customFormat="false" ht="28.35" hidden="false" customHeight="false" outlineLevel="0" collapsed="false">
      <c r="A54" s="17"/>
      <c r="B54" s="17"/>
      <c r="C54" s="17"/>
      <c r="D54" s="27"/>
      <c r="E54" s="27"/>
      <c r="F54" s="27"/>
      <c r="G54" s="27"/>
      <c r="H54" s="26" t="s">
        <v>190</v>
      </c>
      <c r="I54" s="22"/>
      <c r="J54" s="22"/>
      <c r="K54" s="22"/>
      <c r="L54" s="22" t="n">
        <v>1</v>
      </c>
      <c r="M54" s="64"/>
      <c r="N54" s="64"/>
      <c r="O54" s="64"/>
      <c r="P54" s="64"/>
      <c r="Q54" s="64"/>
      <c r="R54" s="64"/>
      <c r="S54" s="64"/>
      <c r="T54" s="64"/>
      <c r="U54" s="64"/>
      <c r="V54" s="64"/>
      <c r="W54" s="16"/>
      <c r="X54" s="16"/>
      <c r="Y54" s="16"/>
      <c r="Z54" s="16"/>
      <c r="AA54" s="16"/>
      <c r="AB54" s="16"/>
      <c r="AC54" s="16"/>
      <c r="AD54" s="16"/>
      <c r="AE54" s="16"/>
      <c r="AF54" s="16"/>
      <c r="AG54" s="16"/>
      <c r="AH54" s="16"/>
      <c r="AI54" s="16"/>
      <c r="AJ54" s="16"/>
      <c r="AK54" s="16"/>
      <c r="AL54" s="16"/>
      <c r="AM54" s="16"/>
      <c r="AN54" s="16"/>
      <c r="AO54" s="16"/>
      <c r="AP54" s="16"/>
      <c r="AQ54" s="16"/>
    </row>
    <row r="55" customFormat="false" ht="30" hidden="false" customHeight="true" outlineLevel="0" collapsed="false">
      <c r="A55" s="17"/>
      <c r="B55" s="17"/>
      <c r="C55" s="17"/>
      <c r="D55" s="27"/>
      <c r="E55" s="27"/>
      <c r="F55" s="27"/>
      <c r="G55" s="27"/>
      <c r="H55" s="85" t="s">
        <v>191</v>
      </c>
      <c r="I55" s="22"/>
      <c r="J55" s="22"/>
      <c r="K55" s="22"/>
      <c r="L55" s="22" t="n">
        <v>1</v>
      </c>
      <c r="M55" s="64"/>
      <c r="N55" s="64"/>
      <c r="O55" s="64"/>
      <c r="P55" s="64"/>
      <c r="Q55" s="64"/>
      <c r="R55" s="64"/>
      <c r="S55" s="64"/>
      <c r="T55" s="64"/>
      <c r="U55" s="64"/>
      <c r="V55" s="64"/>
      <c r="W55" s="16"/>
      <c r="X55" s="16"/>
      <c r="Y55" s="16"/>
      <c r="Z55" s="16"/>
      <c r="AA55" s="16"/>
      <c r="AB55" s="16"/>
      <c r="AC55" s="16"/>
      <c r="AD55" s="16"/>
      <c r="AE55" s="16"/>
      <c r="AF55" s="16"/>
      <c r="AG55" s="16"/>
      <c r="AH55" s="16"/>
      <c r="AI55" s="16"/>
      <c r="AJ55" s="16"/>
      <c r="AK55" s="16"/>
      <c r="AL55" s="16"/>
      <c r="AM55" s="16"/>
      <c r="AN55" s="16"/>
      <c r="AO55" s="16"/>
      <c r="AP55" s="16"/>
      <c r="AQ55" s="16"/>
    </row>
    <row r="56" customFormat="false" ht="30" hidden="false" customHeight="true" outlineLevel="0" collapsed="false">
      <c r="A56" s="17"/>
      <c r="B56" s="17"/>
      <c r="C56" s="17"/>
      <c r="D56" s="27"/>
      <c r="E56" s="27"/>
      <c r="F56" s="27"/>
      <c r="G56" s="27"/>
      <c r="H56" s="26" t="s">
        <v>192</v>
      </c>
      <c r="I56" s="22"/>
      <c r="J56" s="22"/>
      <c r="K56" s="22"/>
      <c r="L56" s="22" t="n">
        <v>1</v>
      </c>
      <c r="M56" s="64"/>
      <c r="N56" s="64"/>
      <c r="O56" s="64"/>
      <c r="P56" s="64"/>
      <c r="Q56" s="64"/>
      <c r="R56" s="64"/>
      <c r="S56" s="64"/>
      <c r="T56" s="64"/>
      <c r="U56" s="64"/>
      <c r="V56" s="64"/>
      <c r="W56" s="16"/>
      <c r="X56" s="16"/>
      <c r="Y56" s="16"/>
      <c r="Z56" s="16"/>
      <c r="AA56" s="16"/>
      <c r="AB56" s="16"/>
      <c r="AC56" s="16"/>
      <c r="AD56" s="16"/>
      <c r="AE56" s="16"/>
      <c r="AF56" s="16"/>
      <c r="AG56" s="16"/>
      <c r="AH56" s="16"/>
      <c r="AI56" s="16"/>
      <c r="AJ56" s="16"/>
      <c r="AK56" s="16"/>
      <c r="AL56" s="16"/>
      <c r="AM56" s="16"/>
      <c r="AN56" s="16"/>
      <c r="AO56" s="16"/>
      <c r="AP56" s="16"/>
      <c r="AQ56" s="16"/>
    </row>
    <row r="57" customFormat="false" ht="30.75" hidden="false" customHeight="true" outlineLevel="0" collapsed="false">
      <c r="A57" s="17"/>
      <c r="B57" s="17"/>
      <c r="C57" s="17"/>
      <c r="D57" s="27"/>
      <c r="E57" s="27"/>
      <c r="F57" s="27"/>
      <c r="G57" s="27"/>
      <c r="H57" s="26" t="s">
        <v>193</v>
      </c>
      <c r="I57" s="22"/>
      <c r="J57" s="22"/>
      <c r="K57" s="22"/>
      <c r="L57" s="22" t="n">
        <v>1</v>
      </c>
      <c r="M57" s="64"/>
      <c r="N57" s="64"/>
      <c r="O57" s="64"/>
      <c r="P57" s="64"/>
      <c r="Q57" s="64"/>
      <c r="R57" s="64"/>
      <c r="S57" s="64"/>
      <c r="T57" s="64"/>
      <c r="U57" s="64"/>
      <c r="V57" s="64"/>
      <c r="W57" s="16"/>
      <c r="X57" s="16"/>
      <c r="Y57" s="16"/>
      <c r="Z57" s="16"/>
      <c r="AA57" s="16"/>
      <c r="AB57" s="16"/>
      <c r="AC57" s="16"/>
      <c r="AD57" s="16"/>
      <c r="AE57" s="16"/>
      <c r="AF57" s="16"/>
      <c r="AG57" s="16"/>
      <c r="AH57" s="16"/>
      <c r="AI57" s="16"/>
      <c r="AJ57" s="16"/>
      <c r="AK57" s="16"/>
      <c r="AL57" s="16"/>
      <c r="AM57" s="16"/>
      <c r="AN57" s="16"/>
      <c r="AO57" s="16"/>
      <c r="AP57" s="16"/>
      <c r="AQ57" s="16"/>
    </row>
    <row r="58" customFormat="false" ht="15.75" hidden="false" customHeight="true" outlineLevel="0" collapsed="false">
      <c r="A58" s="17"/>
      <c r="B58" s="34" t="s">
        <v>88</v>
      </c>
      <c r="C58" s="34"/>
      <c r="D58" s="66" t="e">
        <f aca="false">IF( AND(COUNT(D49:G49)=1,COUNT(D50:G50)=1,COUNT(D51:G51)=1,COUNT(D52:G52)=1), (SUM(F49:F52) + (SUM(E49:E52)/2)) / COUNTBLANK(G49:G52), "Error - check cell values")</f>
        <v>#DIV/0!</v>
      </c>
      <c r="E58" s="66"/>
      <c r="F58" s="51" t="n">
        <f aca="false">COUNTBLANK(G49:G52)</f>
        <v>0</v>
      </c>
      <c r="G58" s="51" t="n">
        <f aca="false">ROWS(G49:G52)</f>
        <v>4</v>
      </c>
      <c r="H58" s="52" t="s">
        <v>88</v>
      </c>
      <c r="I58" s="66" t="e">
        <f aca="false">IF( AND(COUNT(I49:L49)=1,COUNT(I50:L50)=1,COUNT(I51:L51)=1,COUNT(I52:L52)=1,COUNT(I53:L53)=1,COUNT(I54:L54)=1,COUNT(I55:L55)=1,COUNT(I56:L56)=1,COUNT(I57:L57)=1), (SUM(K49:K57) + (SUM(J49:J57)/2)) / COUNTBLANK(L49:L57), "Error - check cell values")</f>
        <v>#DIV/0!</v>
      </c>
      <c r="J58" s="66"/>
      <c r="K58" s="51" t="n">
        <f aca="false">COUNTBLANK(L49:L57)</f>
        <v>0</v>
      </c>
      <c r="L58" s="67" t="n">
        <f aca="false">ROWS(L49:L57)</f>
        <v>9</v>
      </c>
      <c r="M58" s="52" t="s">
        <v>88</v>
      </c>
      <c r="N58" s="66" t="e">
        <f aca="false">IF( AND(COUNT(N49:Q49)=1,COUNT(N50:Q50)=1,COUNT(N51:Q51)=1,COUNT(N52:Q52)=1,COUNT(N53:Q53)=1), (SUM(P49:P53) + (SUM(O49:O53)/2)) / COUNTBLANK(Q49:Q53), "Error - check cell values")</f>
        <v>#DIV/0!</v>
      </c>
      <c r="O58" s="66"/>
      <c r="P58" s="51" t="n">
        <f aca="false">COUNTBLANK(Q49:Q53)</f>
        <v>0</v>
      </c>
      <c r="Q58" s="67" t="n">
        <f aca="false">ROWS(Q49:Q53)</f>
        <v>5</v>
      </c>
      <c r="R58" s="52" t="s">
        <v>88</v>
      </c>
      <c r="S58" s="66" t="e">
        <f aca="false">IF( AND(COUNT(S49:V49)=1,COUNT(S50:V50)=1,COUNT(S51:V51)=1,COUNT(S52:V52)=1,COUNT(S53:V53)=1), (SUM(U49:U53) + (SUM(T49:T53)/2)) / COUNTBLANK(V49:V53), "Error - check cell values")</f>
        <v>#DIV/0!</v>
      </c>
      <c r="T58" s="66"/>
      <c r="U58" s="51" t="n">
        <f aca="false">COUNTBLANK(V49:V53)</f>
        <v>0</v>
      </c>
      <c r="V58" s="51" t="n">
        <f aca="false">ROWS(V49:V53)</f>
        <v>5</v>
      </c>
      <c r="W58" s="22"/>
      <c r="X58" s="22"/>
      <c r="Y58" s="22"/>
      <c r="Z58" s="22"/>
      <c r="AA58" s="22"/>
      <c r="AB58" s="22"/>
      <c r="AC58" s="22"/>
      <c r="AD58" s="22"/>
      <c r="AE58" s="22"/>
      <c r="AF58" s="22"/>
      <c r="AG58" s="22"/>
      <c r="AH58" s="22"/>
      <c r="AI58" s="22"/>
      <c r="AJ58" s="22"/>
      <c r="AK58" s="22"/>
      <c r="AL58" s="22"/>
      <c r="AM58" s="22"/>
      <c r="AN58" s="22"/>
      <c r="AO58" s="22"/>
      <c r="AP58" s="22"/>
      <c r="AQ58" s="22"/>
    </row>
    <row r="59" customFormat="false" ht="41.75" hidden="false" customHeight="false" outlineLevel="0" collapsed="false">
      <c r="A59" s="17"/>
      <c r="B59" s="54"/>
      <c r="C59" s="54"/>
      <c r="D59" s="38" t="s">
        <v>77</v>
      </c>
      <c r="E59" s="38" t="s">
        <v>89</v>
      </c>
      <c r="F59" s="38" t="s">
        <v>78</v>
      </c>
      <c r="G59" s="38" t="s">
        <v>90</v>
      </c>
      <c r="H59" s="39"/>
      <c r="I59" s="38" t="s">
        <v>77</v>
      </c>
      <c r="J59" s="38" t="s">
        <v>89</v>
      </c>
      <c r="K59" s="38" t="s">
        <v>78</v>
      </c>
      <c r="L59" s="38" t="s">
        <v>90</v>
      </c>
      <c r="M59" s="39"/>
      <c r="N59" s="38" t="s">
        <v>77</v>
      </c>
      <c r="O59" s="38" t="s">
        <v>89</v>
      </c>
      <c r="P59" s="38" t="s">
        <v>78</v>
      </c>
      <c r="Q59" s="38" t="s">
        <v>90</v>
      </c>
      <c r="R59" s="39"/>
      <c r="S59" s="38" t="s">
        <v>77</v>
      </c>
      <c r="T59" s="38" t="s">
        <v>89</v>
      </c>
      <c r="U59" s="38" t="s">
        <v>78</v>
      </c>
      <c r="V59" s="38" t="s">
        <v>90</v>
      </c>
      <c r="W59" s="16"/>
      <c r="X59" s="16"/>
      <c r="Y59" s="16"/>
      <c r="Z59" s="16"/>
      <c r="AA59" s="16"/>
      <c r="AB59" s="16"/>
      <c r="AC59" s="16"/>
      <c r="AD59" s="16"/>
      <c r="AE59" s="16"/>
      <c r="AF59" s="16"/>
      <c r="AG59" s="16"/>
      <c r="AH59" s="16"/>
      <c r="AI59" s="16"/>
      <c r="AJ59" s="16"/>
      <c r="AK59" s="16"/>
      <c r="AL59" s="16"/>
      <c r="AM59" s="16"/>
      <c r="AN59" s="16"/>
      <c r="AO59" s="16"/>
      <c r="AP59" s="16"/>
      <c r="AQ59" s="16"/>
    </row>
    <row r="60" customFormat="false" ht="31.3" hidden="false" customHeight="true" outlineLevel="0" collapsed="false">
      <c r="A60" s="17"/>
      <c r="B60" s="68" t="s">
        <v>194</v>
      </c>
      <c r="C60" s="58" t="s">
        <v>195</v>
      </c>
      <c r="D60" s="69"/>
      <c r="E60" s="69"/>
      <c r="F60" s="69"/>
      <c r="G60" s="69" t="n">
        <v>1</v>
      </c>
      <c r="H60" s="58" t="s">
        <v>196</v>
      </c>
      <c r="I60" s="69"/>
      <c r="J60" s="69"/>
      <c r="K60" s="69"/>
      <c r="L60" s="69" t="n">
        <v>1</v>
      </c>
      <c r="M60" s="58" t="s">
        <v>197</v>
      </c>
      <c r="N60" s="69"/>
      <c r="O60" s="69"/>
      <c r="P60" s="69"/>
      <c r="Q60" s="69" t="n">
        <v>1</v>
      </c>
      <c r="R60" s="58" t="s">
        <v>198</v>
      </c>
      <c r="S60" s="69"/>
      <c r="T60" s="69"/>
      <c r="U60" s="69"/>
      <c r="V60" s="69" t="n">
        <v>1</v>
      </c>
      <c r="W60" s="16"/>
      <c r="X60" s="16"/>
      <c r="Y60" s="16"/>
      <c r="Z60" s="16"/>
      <c r="AA60" s="16"/>
      <c r="AB60" s="16"/>
      <c r="AC60" s="16"/>
      <c r="AD60" s="16"/>
      <c r="AE60" s="16"/>
      <c r="AF60" s="16"/>
      <c r="AG60" s="16"/>
      <c r="AH60" s="16"/>
      <c r="AI60" s="16"/>
      <c r="AJ60" s="16"/>
      <c r="AK60" s="16"/>
      <c r="AL60" s="16"/>
      <c r="AM60" s="16"/>
      <c r="AN60" s="16"/>
      <c r="AO60" s="16"/>
      <c r="AP60" s="16"/>
      <c r="AQ60" s="16"/>
    </row>
    <row r="61" customFormat="false" ht="31.3" hidden="false" customHeight="false" outlineLevel="0" collapsed="false">
      <c r="A61" s="17"/>
      <c r="B61" s="17"/>
      <c r="C61" s="58" t="s">
        <v>199</v>
      </c>
      <c r="D61" s="69"/>
      <c r="E61" s="69"/>
      <c r="F61" s="69"/>
      <c r="G61" s="69" t="n">
        <v>1</v>
      </c>
      <c r="H61" s="58" t="s">
        <v>200</v>
      </c>
      <c r="I61" s="69"/>
      <c r="J61" s="69"/>
      <c r="K61" s="69"/>
      <c r="L61" s="69" t="n">
        <v>1</v>
      </c>
      <c r="M61" s="58" t="s">
        <v>201</v>
      </c>
      <c r="N61" s="69"/>
      <c r="O61" s="69"/>
      <c r="P61" s="69"/>
      <c r="Q61" s="69" t="n">
        <v>1</v>
      </c>
      <c r="R61" s="70" t="s">
        <v>202</v>
      </c>
      <c r="S61" s="69"/>
      <c r="T61" s="69"/>
      <c r="U61" s="69"/>
      <c r="V61" s="69" t="n">
        <v>1</v>
      </c>
      <c r="W61" s="16"/>
      <c r="X61" s="16"/>
      <c r="Y61" s="16"/>
      <c r="Z61" s="16"/>
      <c r="AA61" s="16"/>
      <c r="AB61" s="16"/>
      <c r="AC61" s="16"/>
      <c r="AD61" s="16"/>
      <c r="AE61" s="16"/>
      <c r="AF61" s="16"/>
      <c r="AG61" s="16"/>
      <c r="AH61" s="16"/>
      <c r="AI61" s="16"/>
      <c r="AJ61" s="16"/>
      <c r="AK61" s="16"/>
      <c r="AL61" s="16"/>
      <c r="AM61" s="16"/>
      <c r="AN61" s="16"/>
      <c r="AO61" s="16"/>
      <c r="AP61" s="16"/>
      <c r="AQ61" s="16"/>
    </row>
    <row r="62" customFormat="false" ht="31.3" hidden="false" customHeight="false" outlineLevel="0" collapsed="false">
      <c r="A62" s="17"/>
      <c r="B62" s="17"/>
      <c r="C62" s="71"/>
      <c r="D62" s="71"/>
      <c r="E62" s="71"/>
      <c r="F62" s="71"/>
      <c r="G62" s="71"/>
      <c r="H62" s="58" t="s">
        <v>203</v>
      </c>
      <c r="I62" s="69"/>
      <c r="J62" s="69"/>
      <c r="K62" s="69"/>
      <c r="L62" s="69" t="n">
        <v>1</v>
      </c>
      <c r="M62" s="58" t="s">
        <v>204</v>
      </c>
      <c r="N62" s="69"/>
      <c r="O62" s="69"/>
      <c r="P62" s="69"/>
      <c r="Q62" s="69" t="n">
        <v>1</v>
      </c>
      <c r="R62" s="58" t="s">
        <v>205</v>
      </c>
      <c r="S62" s="69"/>
      <c r="T62" s="69"/>
      <c r="U62" s="69"/>
      <c r="V62" s="69" t="n">
        <v>1</v>
      </c>
      <c r="W62" s="16"/>
      <c r="X62" s="16"/>
      <c r="Y62" s="16"/>
      <c r="Z62" s="16"/>
      <c r="AA62" s="16"/>
      <c r="AB62" s="16"/>
      <c r="AC62" s="16"/>
      <c r="AD62" s="16"/>
      <c r="AE62" s="16"/>
      <c r="AF62" s="16"/>
      <c r="AG62" s="16"/>
      <c r="AH62" s="16"/>
      <c r="AI62" s="16"/>
      <c r="AJ62" s="16"/>
      <c r="AK62" s="16"/>
      <c r="AL62" s="16"/>
      <c r="AM62" s="16"/>
      <c r="AN62" s="16"/>
      <c r="AO62" s="16"/>
      <c r="AP62" s="16"/>
      <c r="AQ62" s="16"/>
    </row>
    <row r="63" customFormat="false" ht="46.25" hidden="false" customHeight="false" outlineLevel="0" collapsed="false">
      <c r="A63" s="17"/>
      <c r="B63" s="17"/>
      <c r="C63" s="17"/>
      <c r="D63" s="71"/>
      <c r="E63" s="71"/>
      <c r="F63" s="71"/>
      <c r="G63" s="71"/>
      <c r="H63" s="71"/>
      <c r="I63" s="71"/>
      <c r="J63" s="71"/>
      <c r="K63" s="71"/>
      <c r="L63" s="71"/>
      <c r="M63" s="71"/>
      <c r="N63" s="71"/>
      <c r="O63" s="71"/>
      <c r="P63" s="71"/>
      <c r="Q63" s="71"/>
      <c r="R63" s="58" t="s">
        <v>206</v>
      </c>
      <c r="S63" s="69"/>
      <c r="T63" s="69"/>
      <c r="U63" s="69"/>
      <c r="V63" s="69" t="n">
        <v>1</v>
      </c>
      <c r="W63" s="16"/>
      <c r="X63" s="16"/>
      <c r="Y63" s="16"/>
      <c r="Z63" s="16"/>
      <c r="AA63" s="16"/>
      <c r="AB63" s="16"/>
      <c r="AC63" s="16"/>
      <c r="AD63" s="16"/>
      <c r="AE63" s="16"/>
      <c r="AF63" s="16"/>
      <c r="AG63" s="16"/>
      <c r="AH63" s="16"/>
      <c r="AI63" s="16"/>
      <c r="AJ63" s="16"/>
      <c r="AK63" s="16"/>
      <c r="AL63" s="16"/>
      <c r="AM63" s="16"/>
      <c r="AN63" s="16"/>
      <c r="AO63" s="16"/>
      <c r="AP63" s="16"/>
      <c r="AQ63" s="16"/>
    </row>
    <row r="64" customFormat="false" ht="15.75" hidden="false" customHeight="false" outlineLevel="0" collapsed="false">
      <c r="A64" s="17"/>
      <c r="B64" s="17"/>
      <c r="C64" s="17"/>
      <c r="D64" s="71"/>
      <c r="E64" s="71"/>
      <c r="F64" s="71"/>
      <c r="G64" s="71"/>
      <c r="H64" s="71"/>
      <c r="I64" s="71"/>
      <c r="J64" s="71"/>
      <c r="K64" s="71"/>
      <c r="L64" s="71"/>
      <c r="M64" s="71"/>
      <c r="N64" s="71"/>
      <c r="O64" s="71"/>
      <c r="P64" s="71"/>
      <c r="Q64" s="71"/>
      <c r="R64" s="71"/>
      <c r="S64" s="71"/>
      <c r="T64" s="71"/>
      <c r="U64" s="71"/>
      <c r="V64" s="71"/>
      <c r="W64" s="16"/>
      <c r="X64" s="16"/>
      <c r="Y64" s="16"/>
      <c r="Z64" s="16"/>
      <c r="AA64" s="16"/>
      <c r="AB64" s="16"/>
      <c r="AC64" s="16"/>
      <c r="AD64" s="16"/>
      <c r="AE64" s="16"/>
      <c r="AF64" s="16"/>
      <c r="AG64" s="16"/>
      <c r="AH64" s="16"/>
      <c r="AI64" s="16"/>
      <c r="AJ64" s="16"/>
      <c r="AK64" s="16"/>
      <c r="AL64" s="16"/>
      <c r="AM64" s="16"/>
      <c r="AN64" s="16"/>
      <c r="AO64" s="16"/>
      <c r="AP64" s="16"/>
      <c r="AQ64" s="16"/>
    </row>
    <row r="65" customFormat="false" ht="15.75" hidden="false" customHeight="true" outlineLevel="0" collapsed="false">
      <c r="A65" s="17"/>
      <c r="B65" s="34" t="s">
        <v>88</v>
      </c>
      <c r="C65" s="34"/>
      <c r="D65" s="66" t="e">
        <f aca="false">IF( AND(COUNT(D60:G60)=1,COUNT(D61:G61)=1), (SUM(F60:F61) + (SUM(E60:E61)/2)) / COUNTBLANK(G60:G61), "Error - check cell values")</f>
        <v>#DIV/0!</v>
      </c>
      <c r="E65" s="66"/>
      <c r="F65" s="51" t="n">
        <f aca="false">COUNTBLANK(G60:G61)</f>
        <v>0</v>
      </c>
      <c r="G65" s="51" t="n">
        <f aca="false">ROWS(G60:G61)</f>
        <v>2</v>
      </c>
      <c r="H65" s="52" t="s">
        <v>88</v>
      </c>
      <c r="I65" s="66" t="e">
        <f aca="false">IF( AND(COUNT(I60:L60)=1,COUNT(I61:L61)=1,COUNT(I62:L62)=1), (SUM(K60:K62) + (SUM(J60:J62)/2)) / COUNTBLANK(L60:L62), "Error - check cell values")</f>
        <v>#DIV/0!</v>
      </c>
      <c r="J65" s="66"/>
      <c r="K65" s="51" t="n">
        <f aca="false">COUNTBLANK(L60:L62)</f>
        <v>0</v>
      </c>
      <c r="L65" s="51" t="n">
        <f aca="false">ROWS(L60:L62)</f>
        <v>3</v>
      </c>
      <c r="M65" s="52" t="s">
        <v>88</v>
      </c>
      <c r="N65" s="66" t="e">
        <f aca="false">IF( AND(COUNT(N60:Q60)=1,COUNT(N61:Q61)=1,COUNT(N62:Q62)=1), (SUM(P60:P62) + (SUM(O60:O62)/2)) / COUNTBLANK(Q60:Q62), "Error - check cell values")</f>
        <v>#DIV/0!</v>
      </c>
      <c r="O65" s="66"/>
      <c r="P65" s="51" t="n">
        <f aca="false">COUNTBLANK(Q60:Q62)</f>
        <v>0</v>
      </c>
      <c r="Q65" s="51" t="n">
        <f aca="false">ROWS(Q60:Q62)</f>
        <v>3</v>
      </c>
      <c r="R65" s="52" t="s">
        <v>88</v>
      </c>
      <c r="S65" s="66" t="e">
        <f aca="false">IF( AND(COUNT(S60:V60)=1,COUNT(S61:V61)=1,COUNT(S62:V62)=1,COUNT(S63:V63)=1), (SUM(U60:U63) + (SUM(T60:T63)/2)) / COUNTBLANK(V60:V63), "Error - check cell values")</f>
        <v>#DIV/0!</v>
      </c>
      <c r="T65" s="66"/>
      <c r="U65" s="51" t="n">
        <f aca="false">COUNTBLANK(V60:V63)</f>
        <v>0</v>
      </c>
      <c r="V65" s="51" t="n">
        <f aca="false">ROWS(V60:V63)</f>
        <v>4</v>
      </c>
      <c r="W65" s="22"/>
      <c r="X65" s="22"/>
      <c r="Y65" s="22"/>
      <c r="Z65" s="22"/>
      <c r="AA65" s="22"/>
      <c r="AB65" s="22"/>
      <c r="AC65" s="22"/>
      <c r="AD65" s="22"/>
      <c r="AE65" s="22"/>
      <c r="AF65" s="22"/>
      <c r="AG65" s="22"/>
      <c r="AH65" s="22"/>
      <c r="AI65" s="22"/>
      <c r="AJ65" s="22"/>
      <c r="AK65" s="22"/>
      <c r="AL65" s="22"/>
      <c r="AM65" s="22"/>
      <c r="AN65" s="22"/>
      <c r="AO65" s="22"/>
      <c r="AP65" s="22"/>
      <c r="AQ65" s="22"/>
    </row>
    <row r="66" customFormat="false" ht="41.75" hidden="false" customHeight="false" outlineLevel="0" collapsed="false">
      <c r="A66" s="17"/>
      <c r="B66" s="54"/>
      <c r="C66" s="54"/>
      <c r="D66" s="38" t="s">
        <v>77</v>
      </c>
      <c r="E66" s="38" t="s">
        <v>89</v>
      </c>
      <c r="F66" s="38" t="s">
        <v>78</v>
      </c>
      <c r="G66" s="38" t="s">
        <v>90</v>
      </c>
      <c r="H66" s="39"/>
      <c r="I66" s="38" t="s">
        <v>77</v>
      </c>
      <c r="J66" s="38" t="s">
        <v>89</v>
      </c>
      <c r="K66" s="38" t="s">
        <v>78</v>
      </c>
      <c r="L66" s="38" t="s">
        <v>90</v>
      </c>
      <c r="M66" s="39"/>
      <c r="N66" s="38" t="s">
        <v>77</v>
      </c>
      <c r="O66" s="38" t="s">
        <v>89</v>
      </c>
      <c r="P66" s="38" t="s">
        <v>78</v>
      </c>
      <c r="Q66" s="38" t="s">
        <v>90</v>
      </c>
      <c r="R66" s="39"/>
      <c r="S66" s="38" t="s">
        <v>77</v>
      </c>
      <c r="T66" s="38" t="s">
        <v>89</v>
      </c>
      <c r="U66" s="38" t="s">
        <v>78</v>
      </c>
      <c r="V66" s="38" t="s">
        <v>90</v>
      </c>
      <c r="W66" s="16"/>
      <c r="X66" s="16"/>
      <c r="Y66" s="16"/>
      <c r="Z66" s="16"/>
      <c r="AA66" s="16"/>
      <c r="AB66" s="16"/>
      <c r="AC66" s="16"/>
      <c r="AD66" s="16"/>
      <c r="AE66" s="16"/>
      <c r="AF66" s="16"/>
      <c r="AG66" s="16"/>
      <c r="AH66" s="16"/>
      <c r="AI66" s="16"/>
      <c r="AJ66" s="16"/>
      <c r="AK66" s="16"/>
      <c r="AL66" s="16"/>
      <c r="AM66" s="16"/>
      <c r="AN66" s="16"/>
      <c r="AO66" s="16"/>
      <c r="AP66" s="16"/>
      <c r="AQ66" s="16"/>
    </row>
    <row r="67" customFormat="false" ht="41.75" hidden="false" customHeight="true" outlineLevel="0" collapsed="false">
      <c r="A67" s="17"/>
      <c r="B67" s="68" t="s">
        <v>207</v>
      </c>
      <c r="C67" s="32" t="s">
        <v>208</v>
      </c>
      <c r="D67" s="72"/>
      <c r="E67" s="72"/>
      <c r="F67" s="72"/>
      <c r="G67" s="72" t="n">
        <v>1</v>
      </c>
      <c r="H67" s="32" t="s">
        <v>209</v>
      </c>
      <c r="I67" s="72"/>
      <c r="J67" s="72"/>
      <c r="K67" s="72"/>
      <c r="L67" s="72" t="n">
        <v>1</v>
      </c>
      <c r="M67" s="32" t="s">
        <v>210</v>
      </c>
      <c r="N67" s="72"/>
      <c r="O67" s="72"/>
      <c r="P67" s="72"/>
      <c r="Q67" s="72" t="n">
        <v>1</v>
      </c>
      <c r="R67" s="32" t="s">
        <v>211</v>
      </c>
      <c r="S67" s="72"/>
      <c r="T67" s="72"/>
      <c r="U67" s="72"/>
      <c r="V67" s="72" t="n">
        <v>1</v>
      </c>
      <c r="W67" s="16"/>
      <c r="X67" s="16"/>
      <c r="Y67" s="16"/>
      <c r="Z67" s="16"/>
      <c r="AA67" s="16"/>
      <c r="AB67" s="16"/>
      <c r="AC67" s="16"/>
      <c r="AD67" s="16"/>
      <c r="AE67" s="16"/>
      <c r="AF67" s="16"/>
      <c r="AG67" s="16"/>
      <c r="AH67" s="16"/>
      <c r="AI67" s="16"/>
      <c r="AJ67" s="16"/>
      <c r="AK67" s="16"/>
      <c r="AL67" s="16"/>
      <c r="AM67" s="16"/>
      <c r="AN67" s="16"/>
      <c r="AO67" s="16"/>
      <c r="AP67" s="16"/>
      <c r="AQ67" s="16"/>
    </row>
    <row r="68" customFormat="false" ht="55.2" hidden="false" customHeight="false" outlineLevel="0" collapsed="false">
      <c r="A68" s="17"/>
      <c r="B68" s="17"/>
      <c r="C68" s="32" t="s">
        <v>212</v>
      </c>
      <c r="D68" s="72"/>
      <c r="E68" s="72"/>
      <c r="F68" s="72"/>
      <c r="G68" s="72" t="n">
        <v>1</v>
      </c>
      <c r="H68" s="32" t="s">
        <v>213</v>
      </c>
      <c r="I68" s="72"/>
      <c r="J68" s="72"/>
      <c r="K68" s="72"/>
      <c r="L68" s="72" t="n">
        <v>1</v>
      </c>
      <c r="M68" s="32" t="s">
        <v>214</v>
      </c>
      <c r="N68" s="72"/>
      <c r="O68" s="72"/>
      <c r="P68" s="72"/>
      <c r="Q68" s="72" t="n">
        <v>1</v>
      </c>
      <c r="R68" s="32" t="s">
        <v>215</v>
      </c>
      <c r="S68" s="72"/>
      <c r="T68" s="72"/>
      <c r="U68" s="72"/>
      <c r="V68" s="72" t="n">
        <v>1</v>
      </c>
      <c r="W68" s="16"/>
      <c r="X68" s="16"/>
      <c r="Y68" s="16"/>
      <c r="Z68" s="16"/>
      <c r="AA68" s="16"/>
      <c r="AB68" s="16"/>
      <c r="AC68" s="16"/>
      <c r="AD68" s="16"/>
      <c r="AE68" s="16"/>
      <c r="AF68" s="16"/>
      <c r="AG68" s="16"/>
      <c r="AH68" s="16"/>
      <c r="AI68" s="16"/>
      <c r="AJ68" s="16"/>
      <c r="AK68" s="16"/>
      <c r="AL68" s="16"/>
      <c r="AM68" s="16"/>
      <c r="AN68" s="16"/>
      <c r="AO68" s="16"/>
      <c r="AP68" s="16"/>
      <c r="AQ68" s="16"/>
    </row>
    <row r="69" customFormat="false" ht="55.2" hidden="false" customHeight="false" outlineLevel="0" collapsed="false">
      <c r="A69" s="17"/>
      <c r="B69" s="17"/>
      <c r="C69" s="73"/>
      <c r="D69" s="73"/>
      <c r="E69" s="73"/>
      <c r="F69" s="73"/>
      <c r="G69" s="73"/>
      <c r="H69" s="73"/>
      <c r="I69" s="73"/>
      <c r="J69" s="73"/>
      <c r="K69" s="73"/>
      <c r="L69" s="73"/>
      <c r="M69" s="32" t="s">
        <v>216</v>
      </c>
      <c r="N69" s="72"/>
      <c r="O69" s="72"/>
      <c r="P69" s="72"/>
      <c r="Q69" s="72" t="n">
        <v>1</v>
      </c>
      <c r="R69" s="32" t="s">
        <v>217</v>
      </c>
      <c r="S69" s="72"/>
      <c r="T69" s="72"/>
      <c r="U69" s="72"/>
      <c r="V69" s="72" t="n">
        <v>1</v>
      </c>
      <c r="W69" s="16"/>
      <c r="X69" s="16"/>
      <c r="Y69" s="16"/>
      <c r="Z69" s="16"/>
      <c r="AA69" s="16"/>
      <c r="AB69" s="16"/>
      <c r="AC69" s="16"/>
      <c r="AD69" s="16"/>
      <c r="AE69" s="16"/>
      <c r="AF69" s="16"/>
      <c r="AG69" s="16"/>
      <c r="AH69" s="16"/>
      <c r="AI69" s="16"/>
      <c r="AJ69" s="16"/>
      <c r="AK69" s="16"/>
      <c r="AL69" s="16"/>
      <c r="AM69" s="16"/>
      <c r="AN69" s="16"/>
      <c r="AO69" s="16"/>
      <c r="AP69" s="16"/>
      <c r="AQ69" s="16"/>
    </row>
    <row r="70" customFormat="false" ht="28.35" hidden="false" customHeight="false" outlineLevel="0" collapsed="false">
      <c r="A70" s="17"/>
      <c r="B70" s="17"/>
      <c r="C70" s="17"/>
      <c r="D70" s="73"/>
      <c r="E70" s="73"/>
      <c r="F70" s="73"/>
      <c r="G70" s="73"/>
      <c r="H70" s="73"/>
      <c r="I70" s="73"/>
      <c r="J70" s="73"/>
      <c r="K70" s="73"/>
      <c r="L70" s="73"/>
      <c r="M70" s="32" t="s">
        <v>218</v>
      </c>
      <c r="N70" s="72"/>
      <c r="O70" s="72"/>
      <c r="P70" s="72"/>
      <c r="Q70" s="72" t="n">
        <v>1</v>
      </c>
      <c r="R70" s="32" t="s">
        <v>219</v>
      </c>
      <c r="S70" s="72"/>
      <c r="T70" s="72"/>
      <c r="U70" s="72"/>
      <c r="V70" s="72" t="n">
        <v>1</v>
      </c>
      <c r="W70" s="16"/>
      <c r="X70" s="16"/>
      <c r="Y70" s="16"/>
      <c r="Z70" s="16"/>
      <c r="AA70" s="16"/>
      <c r="AB70" s="16"/>
      <c r="AC70" s="16"/>
      <c r="AD70" s="16"/>
      <c r="AE70" s="16"/>
      <c r="AF70" s="16"/>
      <c r="AG70" s="16"/>
      <c r="AH70" s="16"/>
      <c r="AI70" s="16"/>
      <c r="AJ70" s="16"/>
      <c r="AK70" s="16"/>
      <c r="AL70" s="16"/>
      <c r="AM70" s="16"/>
      <c r="AN70" s="16"/>
      <c r="AO70" s="16"/>
      <c r="AP70" s="16"/>
      <c r="AQ70" s="16"/>
    </row>
    <row r="71" customFormat="false" ht="15.75" hidden="false" customHeight="true" outlineLevel="0" collapsed="false">
      <c r="A71" s="52"/>
      <c r="B71" s="34" t="s">
        <v>88</v>
      </c>
      <c r="C71" s="34"/>
      <c r="D71" s="50" t="e">
        <f aca="false">IF( AND(COUNT(D67:G67)=1,COUNT(D68:G68)=1), (SUM(F67:F68) + (SUM(E67:E68)/2)) / COUNTBLANK(G67:G68), "Error - check cell values")</f>
        <v>#DIV/0!</v>
      </c>
      <c r="E71" s="50"/>
      <c r="F71" s="51" t="n">
        <f aca="false">COUNTBLANK(G67:G68)</f>
        <v>0</v>
      </c>
      <c r="G71" s="51" t="n">
        <f aca="false">ROWS(G67:G68)</f>
        <v>2</v>
      </c>
      <c r="H71" s="52" t="s">
        <v>88</v>
      </c>
      <c r="I71" s="50" t="e">
        <f aca="false">IF( AND(COUNT(I67:L67)=1,COUNT(I68:L68)=1), (SUM(K67:K68) + (SUM(J67:J68)/2)) / COUNTBLANK(L67:L68), "Error - check cell values")</f>
        <v>#DIV/0!</v>
      </c>
      <c r="J71" s="50"/>
      <c r="K71" s="51" t="n">
        <f aca="false">COUNTBLANK(L67:L68)</f>
        <v>0</v>
      </c>
      <c r="L71" s="51" t="n">
        <f aca="false">ROWS(L67:L68)</f>
        <v>2</v>
      </c>
      <c r="M71" s="52" t="s">
        <v>88</v>
      </c>
      <c r="N71" s="50" t="e">
        <f aca="false">IF( AND(COUNT(N67:Q67)=1,COUNT(N68:Q68)=1,COUNT(N69:Q69)=1,COUNT(N70:Q70)=1), (SUM(P67:P70) + (SUM(O67:O70)/2)) / COUNTBLANK(Q67:Q70), "Error - check cell values")</f>
        <v>#DIV/0!</v>
      </c>
      <c r="O71" s="50"/>
      <c r="P71" s="51" t="n">
        <f aca="false">COUNTBLANK(Q67:Q70)</f>
        <v>0</v>
      </c>
      <c r="Q71" s="51" t="n">
        <f aca="false">ROWS(Q67:Q70)</f>
        <v>4</v>
      </c>
      <c r="R71" s="52" t="s">
        <v>88</v>
      </c>
      <c r="S71" s="50" t="e">
        <f aca="false">IF( AND(COUNT(S67:V67)=1,COUNT(S68:V68)=1,COUNT(S69:V69)=1,COUNT(S70:V70)=1), (SUM(U67:U70) + (SUM(T67:T70)/2)) / COUNTBLANK(V67:V70), "Error - check cell values")</f>
        <v>#DIV/0!</v>
      </c>
      <c r="T71" s="50"/>
      <c r="U71" s="51" t="n">
        <f aca="false">COUNTBLANK(V67:V70)</f>
        <v>0</v>
      </c>
      <c r="V71" s="51" t="n">
        <f aca="false">ROWS(V67:V70)</f>
        <v>4</v>
      </c>
      <c r="W71" s="22"/>
      <c r="X71" s="22"/>
      <c r="Y71" s="22"/>
      <c r="Z71" s="22"/>
      <c r="AA71" s="22"/>
      <c r="AB71" s="22"/>
      <c r="AC71" s="22"/>
      <c r="AD71" s="22"/>
      <c r="AE71" s="22"/>
      <c r="AF71" s="22"/>
      <c r="AG71" s="22"/>
      <c r="AH71" s="22"/>
      <c r="AI71" s="22"/>
      <c r="AJ71" s="22"/>
      <c r="AK71" s="22"/>
      <c r="AL71" s="22"/>
      <c r="AM71" s="22"/>
      <c r="AN71" s="22"/>
      <c r="AO71" s="22"/>
      <c r="AP71" s="22"/>
      <c r="AQ71" s="22"/>
    </row>
    <row r="72" customFormat="false" ht="61.15" hidden="false" customHeight="false" outlineLevel="0" collapsed="false">
      <c r="A72" s="74"/>
      <c r="B72" s="75"/>
      <c r="C72" s="75"/>
      <c r="D72" s="74" t="s">
        <v>77</v>
      </c>
      <c r="E72" s="74" t="s">
        <v>89</v>
      </c>
      <c r="F72" s="74" t="s">
        <v>78</v>
      </c>
      <c r="G72" s="74" t="s">
        <v>90</v>
      </c>
      <c r="H72" s="76"/>
      <c r="I72" s="74" t="s">
        <v>77</v>
      </c>
      <c r="J72" s="74" t="s">
        <v>89</v>
      </c>
      <c r="K72" s="74" t="s">
        <v>78</v>
      </c>
      <c r="L72" s="74" t="s">
        <v>90</v>
      </c>
      <c r="M72" s="76"/>
      <c r="N72" s="74" t="s">
        <v>77</v>
      </c>
      <c r="O72" s="74" t="s">
        <v>89</v>
      </c>
      <c r="P72" s="74" t="s">
        <v>78</v>
      </c>
      <c r="Q72" s="74" t="s">
        <v>90</v>
      </c>
      <c r="R72" s="76"/>
      <c r="S72" s="74" t="s">
        <v>77</v>
      </c>
      <c r="T72" s="74" t="s">
        <v>89</v>
      </c>
      <c r="U72" s="74" t="s">
        <v>78</v>
      </c>
      <c r="V72" s="74" t="s">
        <v>90</v>
      </c>
      <c r="W72" s="16"/>
      <c r="X72" s="16"/>
      <c r="Y72" s="16"/>
      <c r="Z72" s="16"/>
      <c r="AA72" s="16"/>
      <c r="AB72" s="16"/>
      <c r="AC72" s="16"/>
      <c r="AD72" s="16"/>
      <c r="AE72" s="16"/>
      <c r="AF72" s="16"/>
      <c r="AG72" s="16"/>
      <c r="AH72" s="16"/>
      <c r="AI72" s="16"/>
      <c r="AJ72" s="16"/>
      <c r="AK72" s="16"/>
      <c r="AL72" s="16"/>
      <c r="AM72" s="16"/>
      <c r="AN72" s="16"/>
      <c r="AO72" s="16"/>
      <c r="AP72" s="16"/>
      <c r="AQ72" s="16"/>
    </row>
    <row r="73" customFormat="false" ht="55.2" hidden="false" customHeight="true" outlineLevel="0" collapsed="false">
      <c r="A73" s="17" t="s">
        <v>220</v>
      </c>
      <c r="B73" s="40" t="s">
        <v>221</v>
      </c>
      <c r="C73" s="26" t="s">
        <v>222</v>
      </c>
      <c r="D73" s="22"/>
      <c r="E73" s="22"/>
      <c r="F73" s="22"/>
      <c r="G73" s="22" t="n">
        <v>1</v>
      </c>
      <c r="H73" s="26" t="s">
        <v>223</v>
      </c>
      <c r="I73" s="22"/>
      <c r="J73" s="22"/>
      <c r="K73" s="22"/>
      <c r="L73" s="22" t="n">
        <v>1</v>
      </c>
      <c r="M73" s="26" t="s">
        <v>224</v>
      </c>
      <c r="N73" s="22"/>
      <c r="O73" s="22"/>
      <c r="Q73" s="22" t="n">
        <v>1</v>
      </c>
      <c r="R73" s="26" t="s">
        <v>225</v>
      </c>
      <c r="S73" s="22"/>
      <c r="T73" s="22"/>
      <c r="U73" s="22"/>
      <c r="V73" s="22" t="n">
        <v>1</v>
      </c>
      <c r="W73" s="16"/>
      <c r="X73" s="16"/>
      <c r="Y73" s="16"/>
      <c r="Z73" s="16"/>
      <c r="AA73" s="16"/>
      <c r="AB73" s="16"/>
      <c r="AC73" s="16"/>
      <c r="AD73" s="16"/>
      <c r="AE73" s="16"/>
      <c r="AF73" s="16"/>
      <c r="AG73" s="16"/>
      <c r="AH73" s="16"/>
      <c r="AI73" s="16"/>
      <c r="AJ73" s="16"/>
      <c r="AK73" s="16"/>
      <c r="AL73" s="16"/>
      <c r="AM73" s="16"/>
      <c r="AN73" s="16"/>
      <c r="AO73" s="16"/>
      <c r="AP73" s="16"/>
      <c r="AQ73" s="16"/>
    </row>
    <row r="74" customFormat="false" ht="55.2" hidden="false" customHeight="false" outlineLevel="0" collapsed="false">
      <c r="A74" s="17"/>
      <c r="B74" s="17"/>
      <c r="C74" s="26" t="s">
        <v>226</v>
      </c>
      <c r="D74" s="22"/>
      <c r="E74" s="22"/>
      <c r="F74" s="22"/>
      <c r="G74" s="22" t="n">
        <v>1</v>
      </c>
      <c r="H74" s="26" t="s">
        <v>227</v>
      </c>
      <c r="I74" s="22"/>
      <c r="J74" s="22"/>
      <c r="K74" s="22"/>
      <c r="L74" s="22" t="n">
        <v>1</v>
      </c>
      <c r="M74" s="26" t="s">
        <v>228</v>
      </c>
      <c r="N74" s="22"/>
      <c r="O74" s="22"/>
      <c r="Q74" s="22" t="n">
        <v>1</v>
      </c>
      <c r="R74" s="26" t="s">
        <v>229</v>
      </c>
      <c r="S74" s="22"/>
      <c r="T74" s="22"/>
      <c r="U74" s="22"/>
      <c r="V74" s="22" t="n">
        <v>1</v>
      </c>
      <c r="W74" s="16"/>
      <c r="X74" s="16"/>
      <c r="Y74" s="16"/>
      <c r="Z74" s="16"/>
      <c r="AA74" s="16"/>
      <c r="AB74" s="16"/>
      <c r="AC74" s="16"/>
      <c r="AD74" s="16"/>
      <c r="AE74" s="16"/>
      <c r="AF74" s="16"/>
      <c r="AG74" s="16"/>
      <c r="AH74" s="16"/>
      <c r="AI74" s="16"/>
      <c r="AJ74" s="16"/>
      <c r="AK74" s="16"/>
      <c r="AL74" s="16"/>
      <c r="AM74" s="16"/>
      <c r="AN74" s="16"/>
      <c r="AO74" s="16"/>
      <c r="AP74" s="16"/>
      <c r="AQ74" s="16"/>
    </row>
    <row r="75" customFormat="false" ht="55.2" hidden="false" customHeight="false" outlineLevel="0" collapsed="false">
      <c r="A75" s="17"/>
      <c r="B75" s="17"/>
      <c r="C75" s="26" t="s">
        <v>230</v>
      </c>
      <c r="D75" s="22"/>
      <c r="E75" s="22"/>
      <c r="F75" s="22"/>
      <c r="G75" s="22" t="n">
        <v>1</v>
      </c>
      <c r="H75" s="26" t="s">
        <v>231</v>
      </c>
      <c r="I75" s="22"/>
      <c r="J75" s="22"/>
      <c r="K75" s="22"/>
      <c r="L75" s="22" t="n">
        <v>1</v>
      </c>
      <c r="M75" s="26" t="s">
        <v>232</v>
      </c>
      <c r="N75" s="22"/>
      <c r="O75" s="22"/>
      <c r="Q75" s="22" t="n">
        <v>1</v>
      </c>
      <c r="R75" s="26" t="s">
        <v>233</v>
      </c>
      <c r="S75" s="22"/>
      <c r="T75" s="22"/>
      <c r="U75" s="22"/>
      <c r="V75" s="22" t="n">
        <v>1</v>
      </c>
      <c r="W75" s="16"/>
      <c r="X75" s="16"/>
      <c r="Y75" s="16"/>
      <c r="Z75" s="16"/>
      <c r="AA75" s="16"/>
      <c r="AB75" s="16"/>
      <c r="AC75" s="16"/>
      <c r="AD75" s="16"/>
      <c r="AE75" s="16"/>
      <c r="AF75" s="16"/>
      <c r="AG75" s="16"/>
      <c r="AH75" s="16"/>
      <c r="AI75" s="16"/>
      <c r="AJ75" s="16"/>
      <c r="AK75" s="16"/>
      <c r="AL75" s="16"/>
      <c r="AM75" s="16"/>
      <c r="AN75" s="16"/>
      <c r="AO75" s="16"/>
      <c r="AP75" s="16"/>
      <c r="AQ75" s="16"/>
    </row>
    <row r="76" customFormat="false" ht="68.65" hidden="false" customHeight="false" outlineLevel="0" collapsed="false">
      <c r="A76" s="17"/>
      <c r="B76" s="17"/>
      <c r="C76" s="26" t="s">
        <v>234</v>
      </c>
      <c r="D76" s="22"/>
      <c r="E76" s="22"/>
      <c r="F76" s="22"/>
      <c r="G76" s="22" t="n">
        <v>1</v>
      </c>
      <c r="H76" s="26" t="s">
        <v>235</v>
      </c>
      <c r="I76" s="22"/>
      <c r="J76" s="22"/>
      <c r="K76" s="22"/>
      <c r="L76" s="22" t="n">
        <v>1</v>
      </c>
      <c r="M76" s="26" t="s">
        <v>236</v>
      </c>
      <c r="N76" s="22"/>
      <c r="O76" s="22"/>
      <c r="Q76" s="22" t="n">
        <v>1</v>
      </c>
      <c r="R76" s="26" t="s">
        <v>237</v>
      </c>
      <c r="S76" s="22"/>
      <c r="T76" s="22"/>
      <c r="U76" s="22"/>
      <c r="V76" s="22" t="n">
        <v>1</v>
      </c>
      <c r="W76" s="16"/>
      <c r="X76" s="16"/>
      <c r="Y76" s="16"/>
      <c r="Z76" s="16"/>
      <c r="AA76" s="16"/>
      <c r="AB76" s="16"/>
      <c r="AC76" s="16"/>
      <c r="AD76" s="16"/>
      <c r="AE76" s="16"/>
      <c r="AF76" s="16"/>
      <c r="AG76" s="16"/>
      <c r="AH76" s="16"/>
      <c r="AI76" s="16"/>
      <c r="AJ76" s="16"/>
      <c r="AK76" s="16"/>
      <c r="AL76" s="16"/>
      <c r="AM76" s="16"/>
      <c r="AN76" s="16"/>
      <c r="AO76" s="16"/>
      <c r="AP76" s="16"/>
      <c r="AQ76" s="16"/>
    </row>
    <row r="77" customFormat="false" ht="82.05" hidden="false" customHeight="false" outlineLevel="0" collapsed="false">
      <c r="A77" s="17"/>
      <c r="B77" s="17"/>
      <c r="C77" s="26" t="s">
        <v>238</v>
      </c>
      <c r="D77" s="22"/>
      <c r="E77" s="22"/>
      <c r="F77" s="22"/>
      <c r="G77" s="22" t="n">
        <v>1</v>
      </c>
      <c r="H77" s="26" t="s">
        <v>239</v>
      </c>
      <c r="I77" s="22"/>
      <c r="J77" s="22"/>
      <c r="K77" s="22"/>
      <c r="L77" s="22" t="n">
        <v>1</v>
      </c>
      <c r="M77" s="26" t="s">
        <v>240</v>
      </c>
      <c r="N77" s="22"/>
      <c r="O77" s="22"/>
      <c r="P77" s="22"/>
      <c r="Q77" s="22" t="n">
        <v>1</v>
      </c>
      <c r="R77" s="26" t="s">
        <v>241</v>
      </c>
      <c r="S77" s="22"/>
      <c r="T77" s="22"/>
      <c r="U77" s="22"/>
      <c r="V77" s="22" t="n">
        <v>1</v>
      </c>
      <c r="W77" s="16"/>
      <c r="X77" s="16"/>
      <c r="Y77" s="16"/>
      <c r="Z77" s="16"/>
      <c r="AA77" s="16"/>
      <c r="AB77" s="16"/>
      <c r="AC77" s="16"/>
      <c r="AD77" s="16"/>
      <c r="AE77" s="16"/>
      <c r="AF77" s="16"/>
      <c r="AG77" s="16"/>
      <c r="AH77" s="16"/>
      <c r="AI77" s="16"/>
      <c r="AJ77" s="16"/>
      <c r="AK77" s="16"/>
      <c r="AL77" s="16"/>
      <c r="AM77" s="16"/>
      <c r="AN77" s="16"/>
      <c r="AO77" s="16"/>
      <c r="AP77" s="16"/>
      <c r="AQ77" s="16"/>
    </row>
    <row r="78" customFormat="false" ht="82.05" hidden="false" customHeight="false" outlineLevel="0" collapsed="false">
      <c r="A78" s="17"/>
      <c r="B78" s="17"/>
      <c r="C78" s="26" t="s">
        <v>242</v>
      </c>
      <c r="D78" s="22"/>
      <c r="E78" s="22"/>
      <c r="F78" s="22"/>
      <c r="G78" s="22" t="n">
        <v>1</v>
      </c>
      <c r="H78" s="26" t="s">
        <v>243</v>
      </c>
      <c r="I78" s="22"/>
      <c r="J78" s="22"/>
      <c r="K78" s="22"/>
      <c r="L78" s="22" t="n">
        <v>1</v>
      </c>
      <c r="M78" s="26" t="s">
        <v>244</v>
      </c>
      <c r="N78" s="22"/>
      <c r="O78" s="22"/>
      <c r="P78" s="22"/>
      <c r="Q78" s="22" t="n">
        <v>1</v>
      </c>
      <c r="R78" s="26" t="s">
        <v>245</v>
      </c>
      <c r="S78" s="22"/>
      <c r="T78" s="22"/>
      <c r="U78" s="22"/>
      <c r="V78" s="22" t="n">
        <v>1</v>
      </c>
      <c r="W78" s="16"/>
      <c r="X78" s="16"/>
      <c r="Y78" s="16"/>
      <c r="Z78" s="16"/>
      <c r="AA78" s="16"/>
      <c r="AB78" s="16"/>
      <c r="AC78" s="16"/>
      <c r="AD78" s="16"/>
      <c r="AE78" s="16"/>
      <c r="AF78" s="16"/>
      <c r="AG78" s="16"/>
      <c r="AH78" s="16"/>
      <c r="AI78" s="16"/>
      <c r="AJ78" s="16"/>
      <c r="AK78" s="16"/>
      <c r="AL78" s="16"/>
      <c r="AM78" s="16"/>
      <c r="AN78" s="16"/>
      <c r="AO78" s="16"/>
      <c r="AP78" s="16"/>
      <c r="AQ78" s="16"/>
    </row>
    <row r="79" customFormat="false" ht="55.2" hidden="false" customHeight="false" outlineLevel="0" collapsed="false">
      <c r="A79" s="17"/>
      <c r="B79" s="17"/>
      <c r="C79" s="26" t="s">
        <v>246</v>
      </c>
      <c r="D79" s="22"/>
      <c r="E79" s="22"/>
      <c r="F79" s="22"/>
      <c r="G79" s="22" t="n">
        <v>1</v>
      </c>
      <c r="H79" s="26" t="s">
        <v>247</v>
      </c>
      <c r="I79" s="22"/>
      <c r="J79" s="22"/>
      <c r="K79" s="22"/>
      <c r="L79" s="22" t="n">
        <v>1</v>
      </c>
      <c r="M79" s="26" t="s">
        <v>248</v>
      </c>
      <c r="N79" s="22"/>
      <c r="O79" s="22"/>
      <c r="P79" s="22"/>
      <c r="Q79" s="22" t="n">
        <v>1</v>
      </c>
      <c r="R79" s="26" t="s">
        <v>249</v>
      </c>
      <c r="S79" s="22"/>
      <c r="T79" s="22"/>
      <c r="U79" s="22"/>
      <c r="V79" s="22" t="n">
        <v>1</v>
      </c>
      <c r="W79" s="16"/>
      <c r="X79" s="16"/>
      <c r="Y79" s="16"/>
      <c r="Z79" s="16"/>
      <c r="AA79" s="16"/>
      <c r="AB79" s="16"/>
      <c r="AC79" s="16"/>
      <c r="AD79" s="16"/>
      <c r="AE79" s="16"/>
      <c r="AF79" s="16"/>
      <c r="AG79" s="16"/>
      <c r="AH79" s="16"/>
      <c r="AI79" s="16"/>
      <c r="AJ79" s="16"/>
      <c r="AK79" s="16"/>
      <c r="AL79" s="16"/>
      <c r="AM79" s="16"/>
      <c r="AN79" s="16"/>
      <c r="AO79" s="16"/>
      <c r="AP79" s="16"/>
      <c r="AQ79" s="16"/>
    </row>
    <row r="80" customFormat="false" ht="41.75" hidden="false" customHeight="false" outlineLevel="0" collapsed="false">
      <c r="A80" s="17"/>
      <c r="B80" s="17"/>
      <c r="C80" s="26" t="s">
        <v>250</v>
      </c>
      <c r="D80" s="22"/>
      <c r="E80" s="22"/>
      <c r="F80" s="22"/>
      <c r="G80" s="22" t="n">
        <v>1</v>
      </c>
      <c r="H80" s="26" t="s">
        <v>250</v>
      </c>
      <c r="I80" s="22"/>
      <c r="J80" s="22"/>
      <c r="K80" s="22"/>
      <c r="L80" s="22" t="n">
        <v>1</v>
      </c>
      <c r="M80" s="26" t="s">
        <v>251</v>
      </c>
      <c r="N80" s="22"/>
      <c r="O80" s="22"/>
      <c r="P80" s="22"/>
      <c r="Q80" s="22" t="n">
        <v>1</v>
      </c>
      <c r="R80" s="42" t="s">
        <v>252</v>
      </c>
      <c r="S80" s="22"/>
      <c r="T80" s="22"/>
      <c r="U80" s="22"/>
      <c r="V80" s="22" t="n">
        <v>1</v>
      </c>
      <c r="W80" s="16"/>
      <c r="X80" s="16"/>
      <c r="Y80" s="16"/>
      <c r="Z80" s="16"/>
      <c r="AA80" s="16"/>
      <c r="AB80" s="16"/>
      <c r="AC80" s="16"/>
      <c r="AD80" s="16"/>
      <c r="AE80" s="16"/>
      <c r="AF80" s="16"/>
      <c r="AG80" s="16"/>
      <c r="AH80" s="16"/>
      <c r="AI80" s="16"/>
      <c r="AJ80" s="16"/>
      <c r="AK80" s="16"/>
      <c r="AL80" s="16"/>
      <c r="AM80" s="16"/>
      <c r="AN80" s="16"/>
      <c r="AO80" s="16"/>
      <c r="AP80" s="16"/>
      <c r="AQ80" s="16"/>
    </row>
    <row r="81" customFormat="false" ht="28.35" hidden="false" customHeight="false" outlineLevel="0" collapsed="false">
      <c r="A81" s="17"/>
      <c r="B81" s="17"/>
      <c r="C81" s="26" t="s">
        <v>253</v>
      </c>
      <c r="D81" s="22"/>
      <c r="E81" s="22"/>
      <c r="F81" s="22"/>
      <c r="G81" s="22" t="n">
        <v>1</v>
      </c>
      <c r="H81" s="26" t="s">
        <v>253</v>
      </c>
      <c r="I81" s="22"/>
      <c r="J81" s="22"/>
      <c r="K81" s="22"/>
      <c r="L81" s="22" t="n">
        <v>1</v>
      </c>
      <c r="M81" s="77"/>
      <c r="N81" s="77"/>
      <c r="O81" s="77"/>
      <c r="P81" s="77"/>
      <c r="Q81" s="77"/>
      <c r="R81" s="26" t="s">
        <v>254</v>
      </c>
      <c r="S81" s="22"/>
      <c r="T81" s="22"/>
      <c r="U81" s="22"/>
      <c r="V81" s="22" t="n">
        <v>1</v>
      </c>
      <c r="W81" s="16"/>
      <c r="X81" s="16"/>
      <c r="Y81" s="16"/>
      <c r="Z81" s="16"/>
      <c r="AA81" s="16"/>
      <c r="AB81" s="16"/>
      <c r="AC81" s="16"/>
      <c r="AD81" s="16"/>
      <c r="AE81" s="16"/>
      <c r="AF81" s="16"/>
      <c r="AG81" s="16"/>
      <c r="AH81" s="16"/>
      <c r="AI81" s="16"/>
      <c r="AJ81" s="16"/>
      <c r="AK81" s="16"/>
      <c r="AL81" s="16"/>
      <c r="AM81" s="16"/>
      <c r="AN81" s="16"/>
      <c r="AO81" s="16"/>
      <c r="AP81" s="16"/>
      <c r="AQ81" s="16"/>
    </row>
    <row r="82" customFormat="false" ht="41.75" hidden="false" customHeight="false" outlineLevel="0" collapsed="false">
      <c r="A82" s="17"/>
      <c r="B82" s="17"/>
      <c r="C82" s="78" t="s">
        <v>255</v>
      </c>
      <c r="D82" s="22"/>
      <c r="E82" s="22"/>
      <c r="F82" s="22"/>
      <c r="G82" s="22" t="n">
        <v>1</v>
      </c>
      <c r="H82" s="26" t="s">
        <v>255</v>
      </c>
      <c r="I82" s="22"/>
      <c r="J82" s="22"/>
      <c r="K82" s="22"/>
      <c r="L82" s="22" t="n">
        <v>1</v>
      </c>
      <c r="M82" s="77"/>
      <c r="N82" s="77"/>
      <c r="O82" s="77"/>
      <c r="P82" s="77"/>
      <c r="Q82" s="77"/>
      <c r="R82" s="26" t="s">
        <v>256</v>
      </c>
      <c r="S82" s="22"/>
      <c r="T82" s="22"/>
      <c r="U82" s="22"/>
      <c r="V82" s="22" t="n">
        <v>1</v>
      </c>
      <c r="W82" s="16"/>
      <c r="X82" s="16"/>
      <c r="Y82" s="16"/>
      <c r="Z82" s="16"/>
      <c r="AA82" s="16"/>
      <c r="AB82" s="16"/>
      <c r="AC82" s="16"/>
      <c r="AD82" s="16"/>
      <c r="AE82" s="16"/>
      <c r="AF82" s="16"/>
      <c r="AG82" s="16"/>
      <c r="AH82" s="16"/>
      <c r="AI82" s="16"/>
      <c r="AJ82" s="16"/>
      <c r="AK82" s="16"/>
      <c r="AL82" s="16"/>
      <c r="AM82" s="16"/>
      <c r="AN82" s="16"/>
      <c r="AO82" s="16"/>
      <c r="AP82" s="16"/>
      <c r="AQ82" s="16"/>
    </row>
    <row r="83" customFormat="false" ht="55.2" hidden="false" customHeight="false" outlineLevel="0" collapsed="false">
      <c r="A83" s="17"/>
      <c r="B83" s="17"/>
      <c r="C83" s="23"/>
      <c r="D83" s="23"/>
      <c r="E83" s="23"/>
      <c r="F83" s="23"/>
      <c r="G83" s="23"/>
      <c r="H83" s="23"/>
      <c r="I83" s="23"/>
      <c r="J83" s="23"/>
      <c r="K83" s="23"/>
      <c r="L83" s="23"/>
      <c r="M83" s="23"/>
      <c r="N83" s="23"/>
      <c r="O83" s="23"/>
      <c r="P83" s="23"/>
      <c r="Q83" s="23"/>
      <c r="R83" s="26" t="s">
        <v>257</v>
      </c>
      <c r="S83" s="22"/>
      <c r="T83" s="22"/>
      <c r="U83" s="22"/>
      <c r="V83" s="22" t="n">
        <v>1</v>
      </c>
      <c r="W83" s="16"/>
      <c r="X83" s="16"/>
      <c r="Y83" s="16"/>
      <c r="Z83" s="16"/>
      <c r="AA83" s="16"/>
      <c r="AB83" s="16"/>
      <c r="AC83" s="16"/>
      <c r="AD83" s="16"/>
      <c r="AE83" s="16"/>
      <c r="AF83" s="16"/>
      <c r="AG83" s="16"/>
      <c r="AH83" s="16"/>
      <c r="AI83" s="16"/>
      <c r="AJ83" s="16"/>
      <c r="AK83" s="16"/>
      <c r="AL83" s="16"/>
      <c r="AM83" s="16"/>
      <c r="AN83" s="16"/>
      <c r="AO83" s="16"/>
      <c r="AP83" s="16"/>
      <c r="AQ83" s="16"/>
    </row>
    <row r="84" customFormat="false" ht="28.35" hidden="false" customHeight="false" outlineLevel="0" collapsed="false">
      <c r="A84" s="17"/>
      <c r="B84" s="17"/>
      <c r="C84" s="17"/>
      <c r="D84" s="23"/>
      <c r="E84" s="23"/>
      <c r="F84" s="23"/>
      <c r="G84" s="23"/>
      <c r="H84" s="23"/>
      <c r="I84" s="23"/>
      <c r="J84" s="23"/>
      <c r="K84" s="23"/>
      <c r="L84" s="23"/>
      <c r="M84" s="23"/>
      <c r="N84" s="23"/>
      <c r="O84" s="23"/>
      <c r="P84" s="23"/>
      <c r="Q84" s="23"/>
      <c r="R84" s="26" t="s">
        <v>258</v>
      </c>
      <c r="S84" s="22"/>
      <c r="T84" s="22"/>
      <c r="U84" s="22"/>
      <c r="V84" s="22" t="n">
        <v>1</v>
      </c>
      <c r="W84" s="16"/>
      <c r="X84" s="16"/>
      <c r="Y84" s="16"/>
      <c r="Z84" s="16"/>
      <c r="AA84" s="16"/>
      <c r="AB84" s="16"/>
      <c r="AC84" s="16"/>
      <c r="AD84" s="16"/>
      <c r="AE84" s="16"/>
      <c r="AF84" s="16"/>
      <c r="AG84" s="16"/>
      <c r="AH84" s="16"/>
      <c r="AI84" s="16"/>
      <c r="AJ84" s="16"/>
      <c r="AK84" s="16"/>
      <c r="AL84" s="16"/>
      <c r="AM84" s="16"/>
      <c r="AN84" s="16"/>
      <c r="AO84" s="16"/>
      <c r="AP84" s="16"/>
      <c r="AQ84" s="16"/>
    </row>
    <row r="85" customFormat="false" ht="68.65" hidden="false" customHeight="false" outlineLevel="0" collapsed="false">
      <c r="A85" s="17"/>
      <c r="B85" s="17"/>
      <c r="C85" s="17"/>
      <c r="D85" s="23"/>
      <c r="E85" s="23"/>
      <c r="F85" s="23"/>
      <c r="G85" s="23"/>
      <c r="H85" s="23"/>
      <c r="I85" s="23"/>
      <c r="J85" s="23"/>
      <c r="K85" s="23"/>
      <c r="L85" s="23"/>
      <c r="M85" s="23"/>
      <c r="N85" s="23"/>
      <c r="O85" s="23"/>
      <c r="P85" s="23"/>
      <c r="Q85" s="23"/>
      <c r="R85" s="26" t="s">
        <v>259</v>
      </c>
      <c r="S85" s="22"/>
      <c r="T85" s="22"/>
      <c r="U85" s="22"/>
      <c r="V85" s="22" t="n">
        <v>1</v>
      </c>
      <c r="W85" s="16"/>
      <c r="X85" s="16"/>
      <c r="Y85" s="16"/>
      <c r="Z85" s="16"/>
      <c r="AA85" s="16"/>
      <c r="AB85" s="16"/>
      <c r="AC85" s="16"/>
      <c r="AD85" s="16"/>
      <c r="AE85" s="16"/>
      <c r="AF85" s="16"/>
      <c r="AG85" s="16"/>
      <c r="AH85" s="16"/>
      <c r="AI85" s="16"/>
      <c r="AJ85" s="16"/>
      <c r="AK85" s="16"/>
      <c r="AL85" s="16"/>
      <c r="AM85" s="16"/>
      <c r="AN85" s="16"/>
      <c r="AO85" s="16"/>
      <c r="AP85" s="16"/>
      <c r="AQ85" s="16"/>
    </row>
    <row r="86" customFormat="false" ht="15.75" hidden="false" customHeight="true" outlineLevel="0" collapsed="false">
      <c r="A86" s="79"/>
      <c r="B86" s="80" t="s">
        <v>88</v>
      </c>
      <c r="C86" s="80"/>
      <c r="D86" s="81" t="e">
        <f aca="false">IF( AND(COUNT(D73:G73)=1,COUNT(D74:G74)=1,COUNT(D75:G75)=1,COUNT(D76:G76)=1,COUNT(D77:G77)=1,COUNT(D78:G78)=1,COUNT(D79:G79)=1,COUNT(D80:G80)=1,COUNT(D81:G81)=1,COUNT(D82:G82)=1), (SUM(F73:F82) + (SUM(E73:E82)/2)) / COUNTBLANK(G73:G82), "Error - check cell values")</f>
        <v>#DIV/0!</v>
      </c>
      <c r="E86" s="81"/>
      <c r="F86" s="82" t="n">
        <f aca="false">COUNTBLANK(G73:G82)</f>
        <v>0</v>
      </c>
      <c r="G86" s="82" t="n">
        <f aca="false">ROWS(G73:G82)</f>
        <v>10</v>
      </c>
      <c r="H86" s="83" t="s">
        <v>88</v>
      </c>
      <c r="I86" s="81" t="e">
        <f aca="false">IF( AND(COUNT(I73:L73)=1,COUNT(I74:L74)=1,COUNT(I75:L75)=1,COUNT(I76:L76)=1,COUNT(I77:L77)=1,COUNT(I78:L78)=1,COUNT(I79:L79)=1,COUNT(I80:L80)=1,COUNT(I81:L81)=1,COUNT(I82:L82)=1), (SUM(K73:K82) + (SUM(J73:J82)/2)) / COUNTBLANK(L73:L82), "Error - check cell values")</f>
        <v>#DIV/0!</v>
      </c>
      <c r="J86" s="81"/>
      <c r="K86" s="82" t="n">
        <f aca="false">COUNTBLANK(L73:L82)</f>
        <v>0</v>
      </c>
      <c r="L86" s="82" t="n">
        <f aca="false">ROWS(L73:L82)</f>
        <v>10</v>
      </c>
      <c r="M86" s="83" t="s">
        <v>88</v>
      </c>
      <c r="N86" s="81" t="e">
        <f aca="false">IF( AND(COUNT(N73:Q73)=1,COUNT(N74:Q74)=1,COUNT(N75:Q75)=1,COUNT(N76:Q76)=1,COUNT(N77:Q77)=1,COUNT(N78:Q78)=1,COUNT(N79:Q79)=1,COUNT(N80:Q80)=1), (SUM(P73:P80) + (SUM(O73:O80)/2)) / COUNTBLANK(Q73:Q80), "Error - check cell values")</f>
        <v>#DIV/0!</v>
      </c>
      <c r="O86" s="81"/>
      <c r="P86" s="82" t="n">
        <f aca="false">COUNTBLANK(Q73:Q80)</f>
        <v>0</v>
      </c>
      <c r="Q86" s="82" t="n">
        <f aca="false">ROWS(Q73:Q80)</f>
        <v>8</v>
      </c>
      <c r="R86" s="83" t="s">
        <v>88</v>
      </c>
      <c r="S86" s="81" t="e">
        <f aca="false">IF( AND(COUNT(S73:V73)=1,COUNT(S74:V74)=1,COUNT(S75:V75)=1,COUNT(S76:V76)=1,COUNT(S77:V77)=1,COUNT(S78:V78)=1,COUNT(S79:V79)=1,COUNT(S80:V80)=1,COUNT(S81:V81)=1,COUNT(S82:V82)=1,COUNT(S83:V83)=1,COUNT(S84:V84)=1,COUNT(S85:V85)=1), (SUM(U73:U85) + (SUM(T73:T85)/2)) / COUNTBLANK(V73:V85), "Error - check cell values")</f>
        <v>#DIV/0!</v>
      </c>
      <c r="T86" s="81"/>
      <c r="U86" s="82" t="n">
        <f aca="false">COUNTBLANK(V73:V85)</f>
        <v>0</v>
      </c>
      <c r="V86" s="82" t="n">
        <f aca="false">ROWS(V73:V85)</f>
        <v>13</v>
      </c>
      <c r="W86" s="16"/>
      <c r="X86" s="16"/>
      <c r="Y86" s="16"/>
      <c r="Z86" s="16"/>
      <c r="AA86" s="16"/>
      <c r="AB86" s="16"/>
      <c r="AC86" s="16"/>
      <c r="AD86" s="16"/>
      <c r="AE86" s="16"/>
      <c r="AF86" s="16"/>
      <c r="AG86" s="16"/>
      <c r="AH86" s="16"/>
      <c r="AI86" s="16"/>
      <c r="AJ86" s="16"/>
      <c r="AK86" s="16"/>
      <c r="AL86" s="16"/>
      <c r="AM86" s="16"/>
      <c r="AN86" s="16"/>
      <c r="AO86" s="16"/>
      <c r="AP86" s="16"/>
      <c r="AQ86" s="16"/>
    </row>
    <row r="87" customFormat="false" ht="15.75" hidden="false" customHeight="false" outlineLevel="0" collapsed="false">
      <c r="A87" s="16"/>
      <c r="B87" s="84"/>
      <c r="C87" s="59"/>
      <c r="D87" s="59"/>
      <c r="E87" s="59"/>
      <c r="F87" s="59"/>
      <c r="G87" s="59"/>
      <c r="H87" s="59"/>
      <c r="I87" s="59"/>
      <c r="J87" s="59"/>
      <c r="K87" s="59"/>
      <c r="L87" s="59"/>
      <c r="M87" s="59"/>
      <c r="N87" s="59"/>
      <c r="O87" s="59"/>
      <c r="P87" s="59"/>
      <c r="Q87" s="59"/>
      <c r="R87" s="59"/>
      <c r="S87" s="59"/>
      <c r="T87" s="59"/>
      <c r="U87" s="59"/>
      <c r="V87" s="59"/>
      <c r="W87" s="16"/>
      <c r="X87" s="16"/>
      <c r="Y87" s="16"/>
      <c r="Z87" s="16"/>
      <c r="AA87" s="16"/>
      <c r="AB87" s="16"/>
      <c r="AC87" s="16"/>
      <c r="AD87" s="16"/>
      <c r="AE87" s="16"/>
      <c r="AF87" s="16"/>
      <c r="AG87" s="16"/>
      <c r="AH87" s="16"/>
      <c r="AI87" s="16"/>
      <c r="AJ87" s="16"/>
      <c r="AK87" s="16"/>
      <c r="AL87" s="16"/>
      <c r="AM87" s="16"/>
      <c r="AN87" s="16"/>
      <c r="AO87" s="16"/>
      <c r="AP87" s="16"/>
      <c r="AQ87" s="16"/>
    </row>
    <row r="88" customFormat="false" ht="15.75" hidden="false" customHeight="false" outlineLevel="0" collapsed="false">
      <c r="A88" s="16"/>
      <c r="B88" s="84"/>
      <c r="C88" s="59"/>
      <c r="D88" s="59"/>
      <c r="E88" s="59"/>
      <c r="F88" s="59"/>
      <c r="G88" s="59"/>
      <c r="H88" s="59"/>
      <c r="I88" s="59"/>
      <c r="J88" s="59"/>
      <c r="K88" s="59"/>
      <c r="L88" s="59"/>
      <c r="M88" s="59"/>
      <c r="N88" s="59"/>
      <c r="O88" s="59"/>
      <c r="P88" s="59"/>
      <c r="Q88" s="59"/>
      <c r="R88" s="59"/>
      <c r="S88" s="59"/>
      <c r="T88" s="59"/>
      <c r="U88" s="59"/>
      <c r="V88" s="59"/>
      <c r="W88" s="16"/>
      <c r="X88" s="16"/>
      <c r="Y88" s="16"/>
      <c r="Z88" s="16"/>
      <c r="AA88" s="16"/>
      <c r="AB88" s="16"/>
      <c r="AC88" s="16"/>
      <c r="AD88" s="16"/>
      <c r="AE88" s="16"/>
      <c r="AF88" s="16"/>
      <c r="AG88" s="16"/>
      <c r="AH88" s="16"/>
      <c r="AI88" s="16"/>
      <c r="AJ88" s="16"/>
      <c r="AK88" s="16"/>
      <c r="AL88" s="16"/>
      <c r="AM88" s="16"/>
      <c r="AN88" s="16"/>
      <c r="AO88" s="16"/>
      <c r="AP88" s="16"/>
      <c r="AQ88" s="16"/>
    </row>
    <row r="89" customFormat="false" ht="15.75" hidden="false" customHeight="false" outlineLevel="0" collapsed="false">
      <c r="A89" s="16"/>
      <c r="B89" s="84"/>
      <c r="C89" s="59"/>
      <c r="D89" s="59"/>
      <c r="E89" s="59"/>
      <c r="F89" s="59"/>
      <c r="G89" s="59"/>
      <c r="H89" s="59"/>
      <c r="I89" s="59"/>
      <c r="J89" s="59"/>
      <c r="K89" s="59"/>
      <c r="L89" s="59"/>
      <c r="M89" s="59"/>
      <c r="N89" s="59"/>
      <c r="O89" s="59"/>
      <c r="P89" s="59"/>
      <c r="Q89" s="59"/>
      <c r="R89" s="59"/>
      <c r="S89" s="59"/>
      <c r="T89" s="59"/>
      <c r="U89" s="59"/>
      <c r="V89" s="59"/>
      <c r="W89" s="16"/>
      <c r="X89" s="16"/>
      <c r="Y89" s="16"/>
      <c r="Z89" s="16"/>
      <c r="AA89" s="16"/>
      <c r="AB89" s="16"/>
      <c r="AC89" s="16"/>
      <c r="AD89" s="16"/>
      <c r="AE89" s="16"/>
      <c r="AF89" s="16"/>
      <c r="AG89" s="16"/>
      <c r="AH89" s="16"/>
      <c r="AI89" s="16"/>
      <c r="AJ89" s="16"/>
      <c r="AK89" s="16"/>
      <c r="AL89" s="16"/>
      <c r="AM89" s="16"/>
      <c r="AN89" s="16"/>
      <c r="AO89" s="16"/>
      <c r="AP89" s="16"/>
      <c r="AQ89" s="16"/>
    </row>
    <row r="90" customFormat="false" ht="15.75" hidden="false" customHeight="false" outlineLevel="0" collapsed="false">
      <c r="A90" s="16"/>
      <c r="B90" s="84"/>
      <c r="C90" s="16"/>
      <c r="D90" s="16"/>
      <c r="E90" s="16"/>
      <c r="F90" s="16"/>
      <c r="G90" s="16"/>
      <c r="H90" s="16"/>
      <c r="I90" s="16"/>
      <c r="J90" s="16"/>
      <c r="K90" s="16"/>
      <c r="L90" s="16"/>
      <c r="M90" s="84"/>
      <c r="N90" s="84"/>
      <c r="O90" s="84"/>
      <c r="P90" s="84"/>
      <c r="Q90" s="84"/>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row>
    <row r="91" customFormat="false" ht="15.75" hidden="false" customHeight="false" outlineLevel="0" collapsed="false">
      <c r="A91" s="16"/>
      <c r="B91" s="84"/>
      <c r="C91" s="16"/>
      <c r="D91" s="16"/>
      <c r="E91" s="16"/>
      <c r="F91" s="16"/>
      <c r="G91" s="16"/>
      <c r="H91" s="16"/>
      <c r="I91" s="16"/>
      <c r="J91" s="16"/>
      <c r="K91" s="16"/>
      <c r="L91" s="16"/>
      <c r="M91" s="84"/>
      <c r="N91" s="84"/>
      <c r="O91" s="84"/>
      <c r="P91" s="84"/>
      <c r="Q91" s="84"/>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row>
    <row r="92" customFormat="false" ht="15.75" hidden="false" customHeight="false" outlineLevel="0" collapsed="false">
      <c r="A92" s="16"/>
      <c r="B92" s="84"/>
      <c r="C92" s="16"/>
      <c r="D92" s="16"/>
      <c r="E92" s="16"/>
      <c r="F92" s="16"/>
      <c r="G92" s="16"/>
      <c r="H92" s="16"/>
      <c r="I92" s="16"/>
      <c r="J92" s="16"/>
      <c r="K92" s="16"/>
      <c r="L92" s="16"/>
      <c r="M92" s="84"/>
      <c r="N92" s="84"/>
      <c r="O92" s="84"/>
      <c r="P92" s="84"/>
      <c r="Q92" s="84"/>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row>
    <row r="93" customFormat="false" ht="15.75" hidden="false" customHeight="false" outlineLevel="0" collapsed="false">
      <c r="A93" s="16"/>
      <c r="B93" s="84"/>
      <c r="C93" s="16"/>
      <c r="D93" s="16"/>
      <c r="E93" s="16"/>
      <c r="F93" s="16"/>
      <c r="G93" s="16"/>
      <c r="H93" s="16"/>
      <c r="I93" s="16"/>
      <c r="J93" s="16"/>
      <c r="K93" s="16"/>
      <c r="L93" s="16"/>
      <c r="M93" s="84"/>
      <c r="N93" s="84"/>
      <c r="O93" s="84"/>
      <c r="P93" s="84"/>
      <c r="Q93" s="84"/>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row>
    <row r="94" customFormat="false" ht="15.75" hidden="false" customHeight="false" outlineLevel="0" collapsed="false">
      <c r="A94" s="16"/>
      <c r="B94" s="84"/>
      <c r="C94" s="16"/>
      <c r="D94" s="16"/>
      <c r="E94" s="16"/>
      <c r="F94" s="16"/>
      <c r="G94" s="16"/>
      <c r="H94" s="16"/>
      <c r="I94" s="16"/>
      <c r="J94" s="16"/>
      <c r="K94" s="16"/>
      <c r="L94" s="16"/>
      <c r="M94" s="84"/>
      <c r="N94" s="84"/>
      <c r="O94" s="84"/>
      <c r="P94" s="84"/>
      <c r="Q94" s="84"/>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row>
    <row r="95" customFormat="false" ht="15.75" hidden="false" customHeight="false" outlineLevel="0" collapsed="false">
      <c r="A95" s="16"/>
      <c r="B95" s="84"/>
      <c r="C95" s="16"/>
      <c r="D95" s="16"/>
      <c r="E95" s="16"/>
      <c r="F95" s="16"/>
      <c r="G95" s="16"/>
      <c r="H95" s="16"/>
      <c r="I95" s="16"/>
      <c r="J95" s="16"/>
      <c r="K95" s="16"/>
      <c r="L95" s="16"/>
      <c r="M95" s="84"/>
      <c r="N95" s="84"/>
      <c r="O95" s="84"/>
      <c r="P95" s="84"/>
      <c r="Q95" s="84"/>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row>
    <row r="96" customFormat="false" ht="15.75" hidden="false" customHeight="false" outlineLevel="0" collapsed="false">
      <c r="A96" s="16"/>
      <c r="B96" s="84"/>
      <c r="C96" s="16"/>
      <c r="D96" s="16"/>
      <c r="E96" s="16"/>
      <c r="F96" s="16"/>
      <c r="G96" s="16"/>
      <c r="H96" s="16"/>
      <c r="I96" s="16"/>
      <c r="J96" s="16"/>
      <c r="K96" s="16"/>
      <c r="L96" s="16"/>
      <c r="M96" s="84"/>
      <c r="N96" s="84"/>
      <c r="O96" s="84"/>
      <c r="P96" s="84"/>
      <c r="Q96" s="84"/>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row>
    <row r="97" customFormat="false" ht="15.75" hidden="false" customHeight="false" outlineLevel="0" collapsed="false">
      <c r="A97" s="16"/>
      <c r="B97" s="84"/>
      <c r="C97" s="16"/>
      <c r="D97" s="16"/>
      <c r="E97" s="16"/>
      <c r="F97" s="16"/>
      <c r="G97" s="16"/>
      <c r="H97" s="16"/>
      <c r="I97" s="16"/>
      <c r="J97" s="16"/>
      <c r="K97" s="16"/>
      <c r="L97" s="16"/>
      <c r="M97" s="84"/>
      <c r="N97" s="84"/>
      <c r="O97" s="84"/>
      <c r="P97" s="84"/>
      <c r="Q97" s="84"/>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row>
    <row r="98" customFormat="false" ht="15.75" hidden="false" customHeight="false" outlineLevel="0" collapsed="false">
      <c r="A98" s="16"/>
      <c r="B98" s="84"/>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row>
    <row r="99" customFormat="false" ht="15.75" hidden="false" customHeight="false" outlineLevel="0" collapsed="false">
      <c r="A99" s="16"/>
      <c r="B99" s="84"/>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row>
    <row r="100" customFormat="false" ht="15.75" hidden="false" customHeight="false" outlineLevel="0" collapsed="false">
      <c r="A100" s="16"/>
      <c r="B100" s="84"/>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row>
    <row r="101" customFormat="false" ht="15.75" hidden="false" customHeight="false" outlineLevel="0" collapsed="false">
      <c r="A101" s="16"/>
      <c r="B101" s="84"/>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row>
    <row r="102" customFormat="false" ht="15.75" hidden="false" customHeight="false" outlineLevel="0" collapsed="false">
      <c r="A102" s="16"/>
      <c r="B102" s="84"/>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row>
    <row r="103" customFormat="false" ht="15.75" hidden="false" customHeight="false" outlineLevel="0" collapsed="false">
      <c r="A103" s="16"/>
      <c r="B103" s="84"/>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row>
    <row r="104" customFormat="false" ht="15.75" hidden="false" customHeight="false" outlineLevel="0" collapsed="false">
      <c r="A104" s="16"/>
      <c r="B104" s="84"/>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row>
    <row r="105" customFormat="false" ht="15.75" hidden="false" customHeight="false" outlineLevel="0" collapsed="false">
      <c r="A105" s="16"/>
      <c r="B105" s="84"/>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row>
    <row r="106" customFormat="false" ht="15.75" hidden="false" customHeight="false" outlineLevel="0" collapsed="false">
      <c r="A106" s="16"/>
      <c r="B106" s="84"/>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row>
    <row r="107" customFormat="false" ht="15.75" hidden="false" customHeight="false" outlineLevel="0" collapsed="false">
      <c r="A107" s="16"/>
      <c r="B107" s="84"/>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row>
    <row r="108" customFormat="false" ht="15.75" hidden="false" customHeight="false" outlineLevel="0" collapsed="false">
      <c r="A108" s="16"/>
      <c r="B108" s="84"/>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row>
    <row r="109" customFormat="false" ht="15.75" hidden="false" customHeight="false" outlineLevel="0" collapsed="false">
      <c r="A109" s="16"/>
      <c r="B109" s="84"/>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row>
    <row r="110" customFormat="false" ht="15.75" hidden="false" customHeight="false" outlineLevel="0" collapsed="false">
      <c r="A110" s="16"/>
      <c r="B110" s="84"/>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row>
    <row r="111" customFormat="false" ht="15.75" hidden="false" customHeight="false" outlineLevel="0" collapsed="false">
      <c r="A111" s="16"/>
      <c r="B111" s="84"/>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row>
    <row r="112" customFormat="false" ht="15.75" hidden="false" customHeight="false" outlineLevel="0" collapsed="false">
      <c r="A112" s="16"/>
      <c r="B112" s="84"/>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row>
    <row r="113" customFormat="false" ht="15.75" hidden="false" customHeight="false" outlineLevel="0" collapsed="false">
      <c r="A113" s="16"/>
      <c r="B113" s="84"/>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row>
    <row r="114" customFormat="false" ht="15.75" hidden="false" customHeight="false" outlineLevel="0" collapsed="false">
      <c r="A114" s="16"/>
      <c r="B114" s="84"/>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row>
    <row r="115" customFormat="false" ht="15.75" hidden="false" customHeight="false" outlineLevel="0" collapsed="false">
      <c r="A115" s="16"/>
      <c r="B115" s="84"/>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row>
    <row r="116" customFormat="false" ht="15.75" hidden="false" customHeight="false" outlineLevel="0" collapsed="false">
      <c r="A116" s="16"/>
      <c r="B116" s="84"/>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row>
    <row r="117" customFormat="false" ht="15.75" hidden="false" customHeight="false" outlineLevel="0" collapsed="false">
      <c r="A117" s="16"/>
      <c r="B117" s="84"/>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row>
    <row r="118" customFormat="false" ht="15.75" hidden="false" customHeight="false" outlineLevel="0" collapsed="false">
      <c r="A118" s="16"/>
      <c r="B118" s="84"/>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row>
    <row r="119" customFormat="false" ht="15.75" hidden="false" customHeight="false" outlineLevel="0" collapsed="false">
      <c r="A119" s="16"/>
      <c r="B119" s="84"/>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row>
    <row r="120" customFormat="false" ht="15.75" hidden="false" customHeight="false" outlineLevel="0" collapsed="false">
      <c r="A120" s="16"/>
      <c r="B120" s="84"/>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row>
    <row r="121" customFormat="false" ht="15.75" hidden="false" customHeight="false" outlineLevel="0" collapsed="false">
      <c r="A121" s="16"/>
      <c r="B121" s="84"/>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row>
    <row r="122" customFormat="false" ht="15.75" hidden="false" customHeight="false" outlineLevel="0" collapsed="false">
      <c r="A122" s="16"/>
      <c r="B122" s="84"/>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row>
    <row r="123" customFormat="false" ht="15.75" hidden="false" customHeight="false" outlineLevel="0" collapsed="false">
      <c r="A123" s="16"/>
      <c r="B123" s="84"/>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row>
    <row r="124" customFormat="false" ht="15.75" hidden="false" customHeight="false" outlineLevel="0" collapsed="false">
      <c r="A124" s="16"/>
      <c r="B124" s="84"/>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row>
    <row r="125" customFormat="false" ht="15.75" hidden="false" customHeight="false" outlineLevel="0" collapsed="false">
      <c r="A125" s="16"/>
      <c r="B125" s="84"/>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row>
    <row r="126" customFormat="false" ht="15.75" hidden="false" customHeight="false" outlineLevel="0" collapsed="false">
      <c r="A126" s="16"/>
      <c r="B126" s="84"/>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row>
    <row r="127" customFormat="false" ht="15.75" hidden="false" customHeight="false" outlineLevel="0" collapsed="false">
      <c r="A127" s="16"/>
      <c r="B127" s="84"/>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row>
    <row r="128" customFormat="false" ht="15.75" hidden="false" customHeight="false" outlineLevel="0" collapsed="false">
      <c r="A128" s="16"/>
      <c r="B128" s="84"/>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row>
    <row r="129" customFormat="false" ht="15.75" hidden="false" customHeight="false" outlineLevel="0" collapsed="false">
      <c r="A129" s="16"/>
      <c r="B129" s="8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row>
    <row r="130" customFormat="false" ht="15.75" hidden="false" customHeight="false" outlineLevel="0" collapsed="false">
      <c r="A130" s="16"/>
      <c r="B130" s="8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row>
    <row r="131" customFormat="false" ht="15.75" hidden="false" customHeight="false" outlineLevel="0" collapsed="false">
      <c r="A131" s="16"/>
      <c r="B131" s="84"/>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row>
    <row r="132" customFormat="false" ht="15.75" hidden="false" customHeight="false" outlineLevel="0" collapsed="false">
      <c r="A132" s="16"/>
      <c r="B132" s="84"/>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row>
    <row r="133" customFormat="false" ht="15.75" hidden="false" customHeight="false" outlineLevel="0" collapsed="false">
      <c r="A133" s="16"/>
      <c r="B133" s="84"/>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row>
    <row r="134" customFormat="false" ht="15.75" hidden="false" customHeight="false" outlineLevel="0" collapsed="false">
      <c r="A134" s="16"/>
      <c r="B134" s="84"/>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row>
    <row r="135" customFormat="false" ht="15.75" hidden="false" customHeight="false" outlineLevel="0" collapsed="false">
      <c r="A135" s="16"/>
      <c r="B135" s="84"/>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row>
    <row r="136" customFormat="false" ht="15.75" hidden="false" customHeight="false" outlineLevel="0" collapsed="false">
      <c r="A136" s="16"/>
      <c r="B136" s="84"/>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row>
    <row r="137" customFormat="false" ht="15.75" hidden="false" customHeight="false" outlineLevel="0" collapsed="false">
      <c r="A137" s="16"/>
      <c r="B137" s="84"/>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row>
    <row r="138" customFormat="false" ht="15.75" hidden="false" customHeight="false" outlineLevel="0" collapsed="false">
      <c r="A138" s="16"/>
      <c r="B138" s="84"/>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row>
    <row r="139" customFormat="false" ht="15.75" hidden="false" customHeight="false" outlineLevel="0" collapsed="false">
      <c r="A139" s="16"/>
      <c r="B139" s="84"/>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row>
    <row r="140" customFormat="false" ht="15.75" hidden="false" customHeight="false" outlineLevel="0" collapsed="false">
      <c r="A140" s="16"/>
      <c r="B140" s="84"/>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row>
    <row r="141" customFormat="false" ht="15.75" hidden="false" customHeight="false" outlineLevel="0" collapsed="false">
      <c r="A141" s="16"/>
      <c r="B141" s="84"/>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row>
    <row r="142" customFormat="false" ht="15.75" hidden="false" customHeight="false" outlineLevel="0" collapsed="false">
      <c r="A142" s="16"/>
      <c r="B142" s="84"/>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row>
    <row r="143" customFormat="false" ht="15.75" hidden="false" customHeight="false" outlineLevel="0" collapsed="false">
      <c r="A143" s="16"/>
      <c r="B143" s="84"/>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row>
    <row r="144" customFormat="false" ht="15.75" hidden="false" customHeight="false" outlineLevel="0" collapsed="false">
      <c r="A144" s="16"/>
      <c r="B144" s="84"/>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row>
    <row r="145" customFormat="false" ht="15.75" hidden="false" customHeight="false" outlineLevel="0" collapsed="false">
      <c r="A145" s="16"/>
      <c r="B145" s="84"/>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row>
    <row r="146" customFormat="false" ht="15.75" hidden="false" customHeight="false" outlineLevel="0" collapsed="false">
      <c r="A146" s="16"/>
      <c r="B146" s="84"/>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row>
    <row r="147" customFormat="false" ht="15.75" hidden="false" customHeight="false" outlineLevel="0" collapsed="false">
      <c r="A147" s="16"/>
      <c r="B147" s="84"/>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row>
    <row r="148" customFormat="false" ht="15.75" hidden="false" customHeight="false" outlineLevel="0" collapsed="false">
      <c r="A148" s="16"/>
      <c r="B148" s="84"/>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row>
    <row r="149" customFormat="false" ht="15.75" hidden="false" customHeight="false" outlineLevel="0" collapsed="false">
      <c r="A149" s="16"/>
      <c r="B149" s="84"/>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row>
    <row r="150" customFormat="false" ht="15.75" hidden="false" customHeight="false" outlineLevel="0" collapsed="false">
      <c r="A150" s="16"/>
      <c r="B150" s="84"/>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row>
    <row r="151" customFormat="false" ht="15.75" hidden="false" customHeight="false" outlineLevel="0" collapsed="false">
      <c r="A151" s="16"/>
      <c r="B151" s="84"/>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row>
    <row r="152" customFormat="false" ht="15.75" hidden="false" customHeight="false" outlineLevel="0" collapsed="false">
      <c r="A152" s="16"/>
      <c r="B152" s="84"/>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row>
    <row r="153" customFormat="false" ht="15.75" hidden="false" customHeight="false" outlineLevel="0" collapsed="false">
      <c r="A153" s="16"/>
      <c r="B153" s="84"/>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row>
    <row r="154" customFormat="false" ht="15.75" hidden="false" customHeight="false" outlineLevel="0" collapsed="false">
      <c r="A154" s="16"/>
      <c r="B154" s="84"/>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row>
    <row r="155" customFormat="false" ht="15.75" hidden="false" customHeight="false" outlineLevel="0" collapsed="false">
      <c r="A155" s="16"/>
      <c r="B155" s="8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row>
    <row r="156" customFormat="false" ht="15.75" hidden="false" customHeight="false" outlineLevel="0" collapsed="false">
      <c r="A156" s="16"/>
      <c r="B156" s="8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row>
    <row r="157" customFormat="false" ht="15.75" hidden="false" customHeight="false" outlineLevel="0" collapsed="false">
      <c r="A157" s="16"/>
      <c r="B157" s="8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row>
    <row r="158" customFormat="false" ht="15.75" hidden="false" customHeight="false" outlineLevel="0" collapsed="false">
      <c r="A158" s="16"/>
      <c r="B158" s="8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row>
    <row r="159" customFormat="false" ht="15.75" hidden="false" customHeight="false" outlineLevel="0" collapsed="false">
      <c r="A159" s="16"/>
      <c r="B159" s="8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row>
    <row r="160" customFormat="false" ht="15.75" hidden="false" customHeight="false" outlineLevel="0" collapsed="false">
      <c r="A160" s="16"/>
      <c r="B160" s="8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row>
    <row r="161" customFormat="false" ht="15.75" hidden="false" customHeight="false" outlineLevel="0" collapsed="false">
      <c r="A161" s="16"/>
      <c r="B161" s="8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row>
    <row r="162" customFormat="false" ht="15.75" hidden="false" customHeight="false" outlineLevel="0" collapsed="false">
      <c r="A162" s="16"/>
      <c r="B162" s="8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row>
    <row r="163" customFormat="false" ht="15.75" hidden="false" customHeight="false" outlineLevel="0" collapsed="false">
      <c r="A163" s="16"/>
      <c r="B163" s="8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row>
    <row r="164" customFormat="false" ht="15.75" hidden="false" customHeight="false" outlineLevel="0" collapsed="false">
      <c r="A164" s="16"/>
      <c r="B164" s="8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row>
    <row r="165" customFormat="false" ht="15.75" hidden="false" customHeight="false" outlineLevel="0" collapsed="false">
      <c r="A165" s="16"/>
      <c r="B165" s="8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row>
    <row r="166" customFormat="false" ht="15.75" hidden="false" customHeight="false" outlineLevel="0" collapsed="false">
      <c r="A166" s="16"/>
      <c r="B166" s="8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row>
    <row r="167" customFormat="false" ht="15.75" hidden="false" customHeight="false" outlineLevel="0" collapsed="false">
      <c r="A167" s="16"/>
      <c r="B167" s="8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row>
    <row r="168" customFormat="false" ht="15.75" hidden="false" customHeight="false" outlineLevel="0" collapsed="false">
      <c r="A168" s="16"/>
      <c r="B168" s="8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row>
    <row r="169" customFormat="false" ht="15.75" hidden="false" customHeight="false" outlineLevel="0" collapsed="false">
      <c r="A169" s="16"/>
      <c r="B169" s="8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row>
    <row r="170" customFormat="false" ht="15.75" hidden="false" customHeight="false" outlineLevel="0" collapsed="false">
      <c r="A170" s="16"/>
      <c r="B170" s="8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row>
    <row r="171" customFormat="false" ht="15.75" hidden="false" customHeight="false" outlineLevel="0" collapsed="false">
      <c r="A171" s="16"/>
      <c r="B171" s="8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row>
    <row r="172" customFormat="false" ht="15.75" hidden="false" customHeight="false" outlineLevel="0" collapsed="false">
      <c r="A172" s="16"/>
      <c r="B172" s="8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row>
    <row r="173" customFormat="false" ht="15.75" hidden="false" customHeight="false" outlineLevel="0" collapsed="false">
      <c r="A173" s="16"/>
      <c r="B173" s="8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row>
    <row r="174" customFormat="false" ht="15.75" hidden="false" customHeight="false" outlineLevel="0" collapsed="false">
      <c r="A174" s="16"/>
      <c r="B174" s="8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row>
    <row r="175" customFormat="false" ht="15.75" hidden="false" customHeight="false" outlineLevel="0" collapsed="false">
      <c r="A175" s="16"/>
      <c r="B175" s="8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row>
    <row r="176" customFormat="false" ht="15.75" hidden="false" customHeight="false" outlineLevel="0" collapsed="false">
      <c r="A176" s="16"/>
      <c r="B176" s="8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row>
    <row r="177" customFormat="false" ht="15.75" hidden="false" customHeight="false" outlineLevel="0" collapsed="false">
      <c r="A177" s="16"/>
      <c r="B177" s="8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row>
    <row r="178" customFormat="false" ht="15.75" hidden="false" customHeight="false" outlineLevel="0" collapsed="false">
      <c r="A178" s="16"/>
      <c r="B178" s="8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row>
    <row r="179" customFormat="false" ht="15.75" hidden="false" customHeight="false" outlineLevel="0" collapsed="false">
      <c r="A179" s="16"/>
      <c r="B179" s="8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row>
    <row r="180" customFormat="false" ht="15.75" hidden="false" customHeight="false" outlineLevel="0" collapsed="false">
      <c r="A180" s="16"/>
      <c r="B180" s="8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row>
    <row r="181" customFormat="false" ht="15.75" hidden="false" customHeight="false" outlineLevel="0" collapsed="false">
      <c r="A181" s="16"/>
      <c r="B181" s="8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row>
    <row r="182" customFormat="false" ht="15.75" hidden="false" customHeight="false" outlineLevel="0" collapsed="false">
      <c r="A182" s="16"/>
      <c r="B182" s="8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row>
    <row r="183" customFormat="false" ht="15.75" hidden="false" customHeight="false" outlineLevel="0" collapsed="false">
      <c r="A183" s="16"/>
      <c r="B183" s="8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row>
    <row r="184" customFormat="false" ht="15.75" hidden="false" customHeight="false" outlineLevel="0" collapsed="false">
      <c r="A184" s="16"/>
      <c r="B184" s="8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row>
    <row r="185" customFormat="false" ht="15.75" hidden="false" customHeight="false" outlineLevel="0" collapsed="false">
      <c r="A185" s="16"/>
      <c r="B185" s="8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row>
    <row r="186" customFormat="false" ht="15.75" hidden="false" customHeight="false" outlineLevel="0" collapsed="false">
      <c r="A186" s="16"/>
      <c r="B186" s="8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row>
    <row r="187" customFormat="false" ht="15.75" hidden="false" customHeight="false" outlineLevel="0" collapsed="false">
      <c r="A187" s="16"/>
      <c r="B187" s="8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row>
    <row r="188" customFormat="false" ht="15.75" hidden="false" customHeight="false" outlineLevel="0" collapsed="false">
      <c r="A188" s="16"/>
      <c r="B188" s="8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row>
    <row r="189" customFormat="false" ht="15.75" hidden="false" customHeight="false" outlineLevel="0" collapsed="false">
      <c r="A189" s="16"/>
      <c r="B189" s="8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row>
    <row r="190" customFormat="false" ht="15.75" hidden="false" customHeight="false" outlineLevel="0" collapsed="false">
      <c r="A190" s="16"/>
      <c r="B190" s="8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row>
    <row r="191" customFormat="false" ht="15.75" hidden="false" customHeight="false" outlineLevel="0" collapsed="false">
      <c r="A191" s="16"/>
      <c r="B191" s="8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row>
    <row r="192" customFormat="false" ht="15.75" hidden="false" customHeight="false" outlineLevel="0" collapsed="false">
      <c r="A192" s="16"/>
      <c r="B192" s="8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row>
    <row r="193" customFormat="false" ht="15.75" hidden="false" customHeight="false" outlineLevel="0" collapsed="false">
      <c r="A193" s="16"/>
      <c r="B193" s="8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row>
    <row r="194" customFormat="false" ht="15.75" hidden="false" customHeight="false" outlineLevel="0" collapsed="false">
      <c r="A194" s="16"/>
      <c r="B194" s="8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row>
    <row r="195" customFormat="false" ht="15.75" hidden="false" customHeight="false" outlineLevel="0" collapsed="false">
      <c r="A195" s="16"/>
      <c r="B195" s="8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row>
    <row r="196" customFormat="false" ht="15.75" hidden="false" customHeight="false" outlineLevel="0" collapsed="false">
      <c r="A196" s="16"/>
      <c r="B196" s="8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row>
    <row r="197" customFormat="false" ht="15.75" hidden="false" customHeight="false" outlineLevel="0" collapsed="false">
      <c r="A197" s="16"/>
      <c r="B197" s="8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row>
    <row r="198" customFormat="false" ht="15.75" hidden="false" customHeight="false" outlineLevel="0" collapsed="false">
      <c r="A198" s="16"/>
      <c r="B198" s="8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row>
    <row r="199" customFormat="false" ht="15.75" hidden="false" customHeight="false" outlineLevel="0" collapsed="false">
      <c r="A199" s="16"/>
      <c r="B199" s="8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row>
    <row r="200" customFormat="false" ht="15.75" hidden="false" customHeight="false" outlineLevel="0" collapsed="false">
      <c r="A200" s="16"/>
      <c r="B200" s="8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row>
    <row r="201" customFormat="false" ht="15.75" hidden="false" customHeight="false" outlineLevel="0" collapsed="false">
      <c r="A201" s="16"/>
      <c r="B201" s="8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row>
    <row r="202" customFormat="false" ht="15.75" hidden="false" customHeight="false" outlineLevel="0" collapsed="false">
      <c r="A202" s="16"/>
      <c r="B202" s="8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row>
    <row r="203" customFormat="false" ht="15.75" hidden="false" customHeight="false" outlineLevel="0" collapsed="false">
      <c r="A203" s="16"/>
      <c r="B203" s="8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row>
    <row r="204" customFormat="false" ht="15.75" hidden="false" customHeight="false" outlineLevel="0" collapsed="false">
      <c r="A204" s="16"/>
      <c r="B204" s="8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row>
    <row r="205" customFormat="false" ht="15.75" hidden="false" customHeight="false" outlineLevel="0" collapsed="false">
      <c r="A205" s="16"/>
      <c r="B205" s="8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row>
    <row r="206" customFormat="false" ht="15.75" hidden="false" customHeight="false" outlineLevel="0" collapsed="false">
      <c r="A206" s="16"/>
      <c r="B206" s="8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row>
    <row r="207" customFormat="false" ht="15.75" hidden="false" customHeight="false" outlineLevel="0" collapsed="false">
      <c r="A207" s="16"/>
      <c r="B207" s="8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row>
    <row r="208" customFormat="false" ht="15.75" hidden="false" customHeight="false" outlineLevel="0" collapsed="false">
      <c r="A208" s="16"/>
      <c r="B208" s="8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row>
    <row r="209" customFormat="false" ht="15.75" hidden="false" customHeight="false" outlineLevel="0" collapsed="false">
      <c r="A209" s="16"/>
      <c r="B209" s="8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row>
    <row r="210" customFormat="false" ht="15.75" hidden="false" customHeight="false" outlineLevel="0" collapsed="false">
      <c r="A210" s="16"/>
      <c r="B210" s="8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row>
    <row r="211" customFormat="false" ht="15.75" hidden="false" customHeight="false" outlineLevel="0" collapsed="false">
      <c r="A211" s="16"/>
      <c r="B211" s="8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row>
    <row r="212" customFormat="false" ht="15.75" hidden="false" customHeight="false" outlineLevel="0" collapsed="false">
      <c r="A212" s="16"/>
      <c r="B212" s="8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row>
    <row r="213" customFormat="false" ht="15.75" hidden="false" customHeight="false" outlineLevel="0" collapsed="false">
      <c r="A213" s="16"/>
      <c r="B213" s="8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row>
    <row r="214" customFormat="false" ht="15.75" hidden="false" customHeight="false" outlineLevel="0" collapsed="false">
      <c r="A214" s="16"/>
      <c r="B214" s="8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row>
    <row r="215" customFormat="false" ht="15.75" hidden="false" customHeight="false" outlineLevel="0" collapsed="false">
      <c r="A215" s="16"/>
      <c r="B215" s="8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row>
    <row r="216" customFormat="false" ht="15.75" hidden="false" customHeight="false" outlineLevel="0" collapsed="false">
      <c r="A216" s="16"/>
      <c r="B216" s="8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row>
    <row r="217" customFormat="false" ht="15.75" hidden="false" customHeight="false" outlineLevel="0" collapsed="false">
      <c r="A217" s="16"/>
      <c r="B217" s="8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row>
    <row r="218" customFormat="false" ht="15.75" hidden="false" customHeight="false" outlineLevel="0" collapsed="false">
      <c r="A218" s="16"/>
      <c r="B218" s="8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row>
    <row r="219" customFormat="false" ht="15.75" hidden="false" customHeight="false" outlineLevel="0" collapsed="false">
      <c r="A219" s="16"/>
      <c r="B219" s="8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row>
    <row r="220" customFormat="false" ht="15.75" hidden="false" customHeight="false" outlineLevel="0" collapsed="false">
      <c r="A220" s="16"/>
      <c r="B220" s="8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row>
    <row r="221" customFormat="false" ht="15.75" hidden="false" customHeight="false" outlineLevel="0" collapsed="false">
      <c r="A221" s="16"/>
      <c r="B221" s="8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row>
    <row r="222" customFormat="false" ht="15.75" hidden="false" customHeight="false" outlineLevel="0" collapsed="false">
      <c r="A222" s="16"/>
      <c r="B222" s="8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row>
    <row r="223" customFormat="false" ht="15.75" hidden="false" customHeight="false" outlineLevel="0" collapsed="false">
      <c r="A223" s="16"/>
      <c r="B223" s="8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row>
    <row r="224" customFormat="false" ht="15.75" hidden="false" customHeight="false" outlineLevel="0" collapsed="false">
      <c r="A224" s="16"/>
      <c r="B224" s="8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row>
    <row r="225" customFormat="false" ht="15.75" hidden="false" customHeight="false" outlineLevel="0" collapsed="false">
      <c r="A225" s="16"/>
      <c r="B225" s="8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row>
    <row r="226" customFormat="false" ht="15.75" hidden="false" customHeight="false" outlineLevel="0" collapsed="false">
      <c r="A226" s="16"/>
      <c r="B226" s="8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row>
    <row r="227" customFormat="false" ht="15.75" hidden="false" customHeight="false" outlineLevel="0" collapsed="false">
      <c r="A227" s="16"/>
      <c r="B227" s="8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row>
    <row r="228" customFormat="false" ht="15.75" hidden="false" customHeight="false" outlineLevel="0" collapsed="false">
      <c r="A228" s="16"/>
      <c r="B228" s="8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row>
    <row r="229" customFormat="false" ht="15.75" hidden="false" customHeight="false" outlineLevel="0" collapsed="false">
      <c r="A229" s="16"/>
      <c r="B229" s="8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row>
    <row r="230" customFormat="false" ht="15.75" hidden="false" customHeight="false" outlineLevel="0" collapsed="false">
      <c r="A230" s="16"/>
      <c r="B230" s="8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row>
    <row r="231" customFormat="false" ht="15.75" hidden="false" customHeight="false" outlineLevel="0" collapsed="false">
      <c r="A231" s="16"/>
      <c r="B231" s="8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row>
    <row r="232" customFormat="false" ht="15.75" hidden="false" customHeight="false" outlineLevel="0" collapsed="false">
      <c r="A232" s="16"/>
      <c r="B232" s="8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row>
    <row r="233" customFormat="false" ht="15.75" hidden="false" customHeight="false" outlineLevel="0" collapsed="false">
      <c r="A233" s="16"/>
      <c r="B233" s="8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row>
    <row r="234" customFormat="false" ht="15.75" hidden="false" customHeight="false" outlineLevel="0" collapsed="false">
      <c r="A234" s="16"/>
      <c r="B234" s="8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row>
    <row r="235" customFormat="false" ht="15.75" hidden="false" customHeight="false" outlineLevel="0" collapsed="false">
      <c r="A235" s="16"/>
      <c r="B235" s="8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row>
    <row r="236" customFormat="false" ht="15.75" hidden="false" customHeight="false" outlineLevel="0" collapsed="false">
      <c r="A236" s="16"/>
      <c r="B236" s="8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row>
    <row r="237" customFormat="false" ht="15.75" hidden="false" customHeight="false" outlineLevel="0" collapsed="false">
      <c r="A237" s="16"/>
      <c r="B237" s="8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row>
    <row r="238" customFormat="false" ht="15.75" hidden="false" customHeight="false" outlineLevel="0" collapsed="false">
      <c r="A238" s="16"/>
      <c r="B238" s="8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row>
    <row r="239" customFormat="false" ht="15.75" hidden="false" customHeight="false" outlineLevel="0" collapsed="false">
      <c r="A239" s="16"/>
      <c r="B239" s="8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row>
    <row r="240" customFormat="false" ht="15.75" hidden="false" customHeight="false" outlineLevel="0" collapsed="false">
      <c r="A240" s="16"/>
      <c r="B240" s="8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row>
    <row r="241" customFormat="false" ht="15.75" hidden="false" customHeight="false" outlineLevel="0" collapsed="false">
      <c r="A241" s="16"/>
      <c r="B241" s="8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row>
    <row r="242" customFormat="false" ht="15.75" hidden="false" customHeight="false" outlineLevel="0" collapsed="false">
      <c r="A242" s="16"/>
      <c r="B242" s="8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row>
    <row r="243" customFormat="false" ht="15.75" hidden="false" customHeight="false" outlineLevel="0" collapsed="false">
      <c r="A243" s="16"/>
      <c r="B243" s="8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row>
    <row r="244" customFormat="false" ht="15.75" hidden="false" customHeight="false" outlineLevel="0" collapsed="false">
      <c r="A244" s="16"/>
      <c r="B244" s="8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row>
    <row r="245" customFormat="false" ht="15.75" hidden="false" customHeight="false" outlineLevel="0" collapsed="false">
      <c r="A245" s="16"/>
      <c r="B245" s="8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row>
    <row r="246" customFormat="false" ht="15.75" hidden="false" customHeight="false" outlineLevel="0" collapsed="false">
      <c r="A246" s="16"/>
      <c r="B246" s="8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row>
    <row r="247" customFormat="false" ht="15.75" hidden="false" customHeight="false" outlineLevel="0" collapsed="false">
      <c r="A247" s="16"/>
      <c r="B247" s="8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row>
    <row r="248" customFormat="false" ht="15.75" hidden="false" customHeight="false" outlineLevel="0" collapsed="false">
      <c r="A248" s="16"/>
      <c r="B248" s="8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row>
    <row r="249" customFormat="false" ht="15.75" hidden="false" customHeight="false" outlineLevel="0" collapsed="false">
      <c r="A249" s="16"/>
      <c r="B249" s="8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row>
    <row r="250" customFormat="false" ht="15.75" hidden="false" customHeight="false" outlineLevel="0" collapsed="false">
      <c r="A250" s="16"/>
      <c r="B250" s="8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row>
    <row r="251" customFormat="false" ht="15.75" hidden="false" customHeight="false" outlineLevel="0" collapsed="false">
      <c r="A251" s="16"/>
      <c r="B251" s="8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row>
    <row r="252" customFormat="false" ht="15.75" hidden="false" customHeight="false" outlineLevel="0" collapsed="false">
      <c r="A252" s="16"/>
      <c r="B252" s="8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row>
    <row r="253" customFormat="false" ht="15.75" hidden="false" customHeight="false" outlineLevel="0" collapsed="false">
      <c r="A253" s="16"/>
      <c r="B253" s="8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row>
    <row r="254" customFormat="false" ht="15.75" hidden="false" customHeight="false" outlineLevel="0" collapsed="false">
      <c r="A254" s="16"/>
      <c r="B254" s="8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row>
    <row r="255" customFormat="false" ht="15.75" hidden="false" customHeight="false" outlineLevel="0" collapsed="false">
      <c r="A255" s="16"/>
      <c r="B255" s="8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row>
    <row r="256" customFormat="false" ht="15.75" hidden="false" customHeight="false" outlineLevel="0" collapsed="false">
      <c r="A256" s="16"/>
      <c r="B256" s="8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row>
    <row r="257" customFormat="false" ht="15.75" hidden="false" customHeight="false" outlineLevel="0" collapsed="false">
      <c r="A257" s="16"/>
      <c r="B257" s="8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row>
    <row r="258" customFormat="false" ht="15.75" hidden="false" customHeight="false" outlineLevel="0" collapsed="false">
      <c r="A258" s="16"/>
      <c r="B258" s="8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row>
    <row r="259" customFormat="false" ht="15.75" hidden="false" customHeight="false" outlineLevel="0" collapsed="false">
      <c r="A259" s="16"/>
      <c r="B259" s="8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row>
    <row r="260" customFormat="false" ht="15.75" hidden="false" customHeight="false" outlineLevel="0" collapsed="false">
      <c r="A260" s="16"/>
      <c r="B260" s="8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row>
    <row r="261" customFormat="false" ht="15.75" hidden="false" customHeight="false" outlineLevel="0" collapsed="false">
      <c r="A261" s="16"/>
      <c r="B261" s="8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row>
    <row r="262" customFormat="false" ht="15.75" hidden="false" customHeight="false" outlineLevel="0" collapsed="false">
      <c r="A262" s="16"/>
      <c r="B262" s="8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row>
    <row r="263" customFormat="false" ht="15.75" hidden="false" customHeight="false" outlineLevel="0" collapsed="false">
      <c r="A263" s="16"/>
      <c r="B263" s="8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row>
    <row r="264" customFormat="false" ht="15.75" hidden="false" customHeight="false" outlineLevel="0" collapsed="false">
      <c r="A264" s="16"/>
      <c r="B264" s="8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row>
    <row r="265" customFormat="false" ht="15.75" hidden="false" customHeight="false" outlineLevel="0" collapsed="false">
      <c r="A265" s="16"/>
      <c r="B265" s="8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row>
    <row r="266" customFormat="false" ht="15.75" hidden="false" customHeight="false" outlineLevel="0" collapsed="false">
      <c r="A266" s="16"/>
      <c r="B266" s="8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row>
    <row r="267" customFormat="false" ht="15.75" hidden="false" customHeight="false" outlineLevel="0" collapsed="false">
      <c r="A267" s="16"/>
      <c r="B267" s="8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row>
    <row r="268" customFormat="false" ht="15.75" hidden="false" customHeight="false" outlineLevel="0" collapsed="false">
      <c r="A268" s="16"/>
      <c r="B268" s="8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row>
    <row r="269" customFormat="false" ht="15.75" hidden="false" customHeight="false" outlineLevel="0" collapsed="false">
      <c r="A269" s="16"/>
      <c r="B269" s="8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row>
    <row r="270" customFormat="false" ht="15.75" hidden="false" customHeight="false" outlineLevel="0" collapsed="false">
      <c r="A270" s="16"/>
      <c r="B270" s="8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row>
    <row r="271" customFormat="false" ht="15.75" hidden="false" customHeight="false" outlineLevel="0" collapsed="false">
      <c r="A271" s="16"/>
      <c r="B271" s="8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row>
    <row r="272" customFormat="false" ht="15.75" hidden="false" customHeight="false" outlineLevel="0" collapsed="false">
      <c r="A272" s="16"/>
      <c r="B272" s="8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row>
    <row r="273" customFormat="false" ht="15.75" hidden="false" customHeight="false" outlineLevel="0" collapsed="false">
      <c r="A273" s="16"/>
      <c r="B273" s="8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row>
    <row r="274" customFormat="false" ht="15.75" hidden="false" customHeight="false" outlineLevel="0" collapsed="false">
      <c r="A274" s="16"/>
      <c r="B274" s="8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row>
    <row r="275" customFormat="false" ht="15.75" hidden="false" customHeight="false" outlineLevel="0" collapsed="false">
      <c r="A275" s="16"/>
      <c r="B275" s="8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row>
    <row r="276" customFormat="false" ht="15.75" hidden="false" customHeight="false" outlineLevel="0" collapsed="false">
      <c r="A276" s="16"/>
      <c r="B276" s="8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row>
    <row r="277" customFormat="false" ht="15.75" hidden="false" customHeight="false" outlineLevel="0" collapsed="false">
      <c r="A277" s="16"/>
      <c r="B277" s="8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row>
    <row r="278" customFormat="false" ht="15.75" hidden="false" customHeight="false" outlineLevel="0" collapsed="false">
      <c r="A278" s="16"/>
      <c r="B278" s="8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row>
    <row r="279" customFormat="false" ht="15.75" hidden="false" customHeight="false" outlineLevel="0" collapsed="false">
      <c r="A279" s="16"/>
      <c r="B279" s="8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row>
    <row r="280" customFormat="false" ht="15.75" hidden="false" customHeight="false" outlineLevel="0" collapsed="false">
      <c r="A280" s="16"/>
      <c r="B280" s="8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row>
    <row r="281" customFormat="false" ht="15.75" hidden="false" customHeight="false" outlineLevel="0" collapsed="false">
      <c r="A281" s="16"/>
      <c r="B281" s="8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row>
    <row r="282" customFormat="false" ht="15.75" hidden="false" customHeight="false" outlineLevel="0" collapsed="false">
      <c r="A282" s="16"/>
      <c r="B282" s="8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row>
    <row r="283" customFormat="false" ht="15.75" hidden="false" customHeight="false" outlineLevel="0" collapsed="false">
      <c r="A283" s="16"/>
      <c r="B283" s="8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row>
    <row r="284" customFormat="false" ht="15.75" hidden="false" customHeight="false" outlineLevel="0" collapsed="false">
      <c r="A284" s="16"/>
      <c r="B284" s="8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row>
    <row r="285" customFormat="false" ht="15.75" hidden="false" customHeight="false" outlineLevel="0" collapsed="false">
      <c r="A285" s="16"/>
      <c r="B285" s="8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row>
    <row r="286" customFormat="false" ht="15.75" hidden="false" customHeight="false" outlineLevel="0" collapsed="false">
      <c r="A286" s="16"/>
      <c r="B286" s="8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row>
    <row r="287" customFormat="false" ht="15.75" hidden="false" customHeight="false" outlineLevel="0" collapsed="false">
      <c r="A287" s="16"/>
      <c r="B287" s="8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row>
    <row r="288" customFormat="false" ht="15.75" hidden="false" customHeight="false" outlineLevel="0" collapsed="false">
      <c r="A288" s="16"/>
      <c r="B288" s="8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row>
    <row r="289" customFormat="false" ht="15.75" hidden="false" customHeight="false" outlineLevel="0" collapsed="false">
      <c r="A289" s="16"/>
      <c r="B289" s="8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row>
    <row r="290" customFormat="false" ht="15.75" hidden="false" customHeight="false" outlineLevel="0" collapsed="false">
      <c r="A290" s="16"/>
      <c r="B290" s="8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row>
    <row r="291" customFormat="false" ht="15.75" hidden="false" customHeight="false" outlineLevel="0" collapsed="false">
      <c r="A291" s="16"/>
      <c r="B291" s="8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row>
    <row r="292" customFormat="false" ht="15.75" hidden="false" customHeight="false" outlineLevel="0" collapsed="false">
      <c r="A292" s="16"/>
      <c r="B292" s="8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row>
    <row r="293" customFormat="false" ht="15.75" hidden="false" customHeight="false" outlineLevel="0" collapsed="false">
      <c r="A293" s="16"/>
      <c r="B293" s="8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row>
    <row r="294" customFormat="false" ht="15.75" hidden="false" customHeight="false" outlineLevel="0" collapsed="false">
      <c r="A294" s="16"/>
      <c r="B294" s="8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row>
    <row r="295" customFormat="false" ht="15.75" hidden="false" customHeight="false" outlineLevel="0" collapsed="false">
      <c r="A295" s="16"/>
      <c r="B295" s="8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row>
    <row r="296" customFormat="false" ht="15.75" hidden="false" customHeight="false" outlineLevel="0" collapsed="false">
      <c r="A296" s="16"/>
      <c r="B296" s="8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row>
    <row r="297" customFormat="false" ht="15.75" hidden="false" customHeight="false" outlineLevel="0" collapsed="false">
      <c r="A297" s="16"/>
      <c r="B297" s="8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row>
    <row r="298" customFormat="false" ht="15.75" hidden="false" customHeight="false" outlineLevel="0" collapsed="false">
      <c r="A298" s="16"/>
      <c r="B298" s="8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row>
    <row r="299" customFormat="false" ht="15.75" hidden="false" customHeight="false" outlineLevel="0" collapsed="false">
      <c r="A299" s="16"/>
      <c r="B299" s="8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row>
    <row r="300" customFormat="false" ht="15.75" hidden="false" customHeight="false" outlineLevel="0" collapsed="false">
      <c r="A300" s="16"/>
      <c r="B300" s="8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row>
    <row r="301" customFormat="false" ht="15.75" hidden="false" customHeight="false" outlineLevel="0" collapsed="false">
      <c r="A301" s="16"/>
      <c r="B301" s="8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row>
    <row r="302" customFormat="false" ht="15.75" hidden="false" customHeight="false" outlineLevel="0" collapsed="false">
      <c r="A302" s="16"/>
      <c r="B302" s="8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row>
    <row r="303" customFormat="false" ht="15.75" hidden="false" customHeight="false" outlineLevel="0" collapsed="false">
      <c r="A303" s="16"/>
      <c r="B303" s="8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row>
    <row r="304" customFormat="false" ht="15.75" hidden="false" customHeight="false" outlineLevel="0" collapsed="false">
      <c r="A304" s="16"/>
      <c r="B304" s="8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row>
    <row r="305" customFormat="false" ht="15.75" hidden="false" customHeight="false" outlineLevel="0" collapsed="false">
      <c r="A305" s="16"/>
      <c r="B305" s="8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row>
    <row r="306" customFormat="false" ht="15.75" hidden="false" customHeight="false" outlineLevel="0" collapsed="false">
      <c r="A306" s="16"/>
      <c r="B306" s="8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row>
    <row r="307" customFormat="false" ht="15.75" hidden="false" customHeight="false" outlineLevel="0" collapsed="false">
      <c r="A307" s="16"/>
      <c r="B307" s="8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row>
    <row r="308" customFormat="false" ht="15.75" hidden="false" customHeight="false" outlineLevel="0" collapsed="false">
      <c r="A308" s="16"/>
      <c r="B308" s="8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row>
    <row r="309" customFormat="false" ht="15.75" hidden="false" customHeight="false" outlineLevel="0" collapsed="false">
      <c r="A309" s="16"/>
      <c r="B309" s="8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row>
    <row r="310" customFormat="false" ht="15.75" hidden="false" customHeight="false" outlineLevel="0" collapsed="false">
      <c r="A310" s="16"/>
      <c r="B310" s="8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row>
    <row r="311" customFormat="false" ht="15.75" hidden="false" customHeight="false" outlineLevel="0" collapsed="false">
      <c r="A311" s="16"/>
      <c r="B311" s="8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row>
    <row r="312" customFormat="false" ht="15.75" hidden="false" customHeight="false" outlineLevel="0" collapsed="false">
      <c r="A312" s="16"/>
      <c r="B312" s="8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row>
    <row r="313" customFormat="false" ht="15.75" hidden="false" customHeight="false" outlineLevel="0" collapsed="false">
      <c r="A313" s="16"/>
      <c r="B313" s="8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row>
    <row r="314" customFormat="false" ht="15.75" hidden="false" customHeight="false" outlineLevel="0" collapsed="false">
      <c r="A314" s="16"/>
      <c r="B314" s="8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row>
    <row r="315" customFormat="false" ht="15.75" hidden="false" customHeight="false" outlineLevel="0" collapsed="false">
      <c r="A315" s="16"/>
      <c r="B315" s="8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row>
    <row r="316" customFormat="false" ht="15.75" hidden="false" customHeight="false" outlineLevel="0" collapsed="false">
      <c r="A316" s="16"/>
      <c r="B316" s="8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row>
    <row r="317" customFormat="false" ht="15.75" hidden="false" customHeight="false" outlineLevel="0" collapsed="false">
      <c r="A317" s="16"/>
      <c r="B317" s="8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row>
    <row r="318" customFormat="false" ht="15.75" hidden="false" customHeight="false" outlineLevel="0" collapsed="false">
      <c r="A318" s="16"/>
      <c r="B318" s="8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row>
    <row r="319" customFormat="false" ht="15.75" hidden="false" customHeight="false" outlineLevel="0" collapsed="false">
      <c r="A319" s="16"/>
      <c r="B319" s="8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row>
    <row r="320" customFormat="false" ht="15.75" hidden="false" customHeight="false" outlineLevel="0" collapsed="false">
      <c r="A320" s="16"/>
      <c r="B320" s="8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row>
    <row r="321" customFormat="false" ht="15.75" hidden="false" customHeight="false" outlineLevel="0" collapsed="false">
      <c r="A321" s="16"/>
      <c r="B321" s="8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row>
    <row r="322" customFormat="false" ht="15.75" hidden="false" customHeight="false" outlineLevel="0" collapsed="false">
      <c r="A322" s="16"/>
      <c r="B322" s="8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row>
    <row r="323" customFormat="false" ht="15.75" hidden="false" customHeight="false" outlineLevel="0" collapsed="false">
      <c r="A323" s="16"/>
      <c r="B323" s="8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row>
    <row r="324" customFormat="false" ht="15.75" hidden="false" customHeight="false" outlineLevel="0" collapsed="false">
      <c r="A324" s="16"/>
      <c r="B324" s="8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row>
    <row r="325" customFormat="false" ht="15.75" hidden="false" customHeight="false" outlineLevel="0" collapsed="false">
      <c r="A325" s="16"/>
      <c r="B325" s="8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row>
    <row r="326" customFormat="false" ht="15.75" hidden="false" customHeight="false" outlineLevel="0" collapsed="false">
      <c r="A326" s="16"/>
      <c r="B326" s="8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row>
    <row r="327" customFormat="false" ht="15.75" hidden="false" customHeight="false" outlineLevel="0" collapsed="false">
      <c r="A327" s="16"/>
      <c r="B327" s="8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row>
    <row r="328" customFormat="false" ht="15.75" hidden="false" customHeight="false" outlineLevel="0" collapsed="false">
      <c r="A328" s="16"/>
      <c r="B328" s="8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row>
    <row r="329" customFormat="false" ht="15.75" hidden="false" customHeight="false" outlineLevel="0" collapsed="false">
      <c r="A329" s="16"/>
      <c r="B329" s="8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row>
    <row r="330" customFormat="false" ht="15.75" hidden="false" customHeight="false" outlineLevel="0" collapsed="false">
      <c r="A330" s="16"/>
      <c r="B330" s="8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75" hidden="false" customHeight="false" outlineLevel="0" collapsed="false">
      <c r="A331" s="16"/>
      <c r="B331" s="8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row>
    <row r="332" customFormat="false" ht="15.75" hidden="false" customHeight="false" outlineLevel="0" collapsed="false">
      <c r="A332" s="16"/>
      <c r="B332" s="8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row>
    <row r="333" customFormat="false" ht="15.75" hidden="false" customHeight="false" outlineLevel="0" collapsed="false">
      <c r="A333" s="16"/>
      <c r="B333" s="8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row>
    <row r="334" customFormat="false" ht="15.75" hidden="false" customHeight="false" outlineLevel="0" collapsed="false">
      <c r="A334" s="16"/>
      <c r="B334" s="8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row>
    <row r="335" customFormat="false" ht="15.75" hidden="false" customHeight="false" outlineLevel="0" collapsed="false">
      <c r="A335" s="16"/>
      <c r="B335" s="8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row>
    <row r="336" customFormat="false" ht="15.75" hidden="false" customHeight="false" outlineLevel="0" collapsed="false">
      <c r="A336" s="16"/>
      <c r="B336" s="8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row>
    <row r="337" customFormat="false" ht="15.75" hidden="false" customHeight="false" outlineLevel="0" collapsed="false">
      <c r="A337" s="16"/>
      <c r="B337" s="8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row>
    <row r="338" customFormat="false" ht="15.75" hidden="false" customHeight="false" outlineLevel="0" collapsed="false">
      <c r="A338" s="16"/>
      <c r="B338" s="8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row>
    <row r="339" customFormat="false" ht="15.75" hidden="false" customHeight="false" outlineLevel="0" collapsed="false">
      <c r="A339" s="16"/>
      <c r="B339" s="8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row>
    <row r="340" customFormat="false" ht="15.75" hidden="false" customHeight="false" outlineLevel="0" collapsed="false">
      <c r="A340" s="16"/>
      <c r="B340" s="8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row>
    <row r="341" customFormat="false" ht="15.75" hidden="false" customHeight="false" outlineLevel="0" collapsed="false">
      <c r="A341" s="16"/>
      <c r="B341" s="8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row>
    <row r="342" customFormat="false" ht="15.75" hidden="false" customHeight="false" outlineLevel="0" collapsed="false">
      <c r="A342" s="16"/>
      <c r="B342" s="8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row>
    <row r="343" customFormat="false" ht="15.75" hidden="false" customHeight="false" outlineLevel="0" collapsed="false">
      <c r="A343" s="16"/>
      <c r="B343" s="8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row>
    <row r="344" customFormat="false" ht="15.75" hidden="false" customHeight="false" outlineLevel="0" collapsed="false">
      <c r="A344" s="16"/>
      <c r="B344" s="8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row>
    <row r="345" customFormat="false" ht="15.75" hidden="false" customHeight="false" outlineLevel="0" collapsed="false">
      <c r="A345" s="16"/>
      <c r="B345" s="8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row>
    <row r="346" customFormat="false" ht="15.75" hidden="false" customHeight="false" outlineLevel="0" collapsed="false">
      <c r="A346" s="16"/>
      <c r="B346" s="8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row>
    <row r="347" customFormat="false" ht="15.75" hidden="false" customHeight="false" outlineLevel="0" collapsed="false">
      <c r="A347" s="16"/>
      <c r="B347" s="8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row>
    <row r="348" customFormat="false" ht="15.75" hidden="false" customHeight="false" outlineLevel="0" collapsed="false">
      <c r="A348" s="16"/>
      <c r="B348" s="8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row>
    <row r="349" customFormat="false" ht="15.75" hidden="false" customHeight="false" outlineLevel="0" collapsed="false">
      <c r="A349" s="16"/>
      <c r="B349" s="8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row>
    <row r="350" customFormat="false" ht="15.75" hidden="false" customHeight="false" outlineLevel="0" collapsed="false">
      <c r="A350" s="16"/>
      <c r="B350" s="8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row>
    <row r="351" customFormat="false" ht="15.75" hidden="false" customHeight="false" outlineLevel="0" collapsed="false">
      <c r="A351" s="16"/>
      <c r="B351" s="8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row>
    <row r="352" customFormat="false" ht="15.75" hidden="false" customHeight="false" outlineLevel="0" collapsed="false">
      <c r="A352" s="16"/>
      <c r="B352" s="8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row>
    <row r="353" customFormat="false" ht="15.75" hidden="false" customHeight="false" outlineLevel="0" collapsed="false">
      <c r="A353" s="16"/>
      <c r="B353" s="8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row>
    <row r="354" customFormat="false" ht="15.75" hidden="false" customHeight="false" outlineLevel="0" collapsed="false">
      <c r="A354" s="16"/>
      <c r="B354" s="8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row>
    <row r="355" customFormat="false" ht="15.75" hidden="false" customHeight="false" outlineLevel="0" collapsed="false">
      <c r="A355" s="16"/>
      <c r="B355" s="8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row>
    <row r="356" customFormat="false" ht="15.75" hidden="false" customHeight="false" outlineLevel="0" collapsed="false">
      <c r="A356" s="16"/>
      <c r="B356" s="8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row>
    <row r="357" customFormat="false" ht="15.75" hidden="false" customHeight="false" outlineLevel="0" collapsed="false">
      <c r="A357" s="16"/>
      <c r="B357" s="8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row>
    <row r="358" customFormat="false" ht="15.75" hidden="false" customHeight="false" outlineLevel="0" collapsed="false">
      <c r="A358" s="16"/>
      <c r="B358" s="8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row>
    <row r="359" customFormat="false" ht="15.75" hidden="false" customHeight="false" outlineLevel="0" collapsed="false">
      <c r="A359" s="16"/>
      <c r="B359" s="8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row>
    <row r="360" customFormat="false" ht="15.75" hidden="false" customHeight="false" outlineLevel="0" collapsed="false">
      <c r="A360" s="16"/>
      <c r="B360" s="8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row>
    <row r="361" customFormat="false" ht="15.75" hidden="false" customHeight="false" outlineLevel="0" collapsed="false">
      <c r="A361" s="16"/>
      <c r="B361" s="8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row>
    <row r="362" customFormat="false" ht="15.75" hidden="false" customHeight="false" outlineLevel="0" collapsed="false">
      <c r="A362" s="16"/>
      <c r="B362" s="8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row>
    <row r="363" customFormat="false" ht="15.75" hidden="false" customHeight="false" outlineLevel="0" collapsed="false">
      <c r="A363" s="16"/>
      <c r="B363" s="8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row>
    <row r="364" customFormat="false" ht="15.75" hidden="false" customHeight="false" outlineLevel="0" collapsed="false">
      <c r="A364" s="16"/>
      <c r="B364" s="8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row>
    <row r="365" customFormat="false" ht="15.75" hidden="false" customHeight="false" outlineLevel="0" collapsed="false">
      <c r="A365" s="16"/>
      <c r="B365" s="8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row>
    <row r="366" customFormat="false" ht="15.75" hidden="false" customHeight="false" outlineLevel="0" collapsed="false">
      <c r="A366" s="16"/>
      <c r="B366" s="8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row>
    <row r="367" customFormat="false" ht="15.75" hidden="false" customHeight="false" outlineLevel="0" collapsed="false">
      <c r="A367" s="16"/>
      <c r="B367" s="8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row>
    <row r="368" customFormat="false" ht="15.75" hidden="false" customHeight="false" outlineLevel="0" collapsed="false">
      <c r="A368" s="16"/>
      <c r="B368" s="8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row>
    <row r="369" customFormat="false" ht="15.75" hidden="false" customHeight="false" outlineLevel="0" collapsed="false">
      <c r="A369" s="16"/>
      <c r="B369" s="8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row>
    <row r="370" customFormat="false" ht="15.75" hidden="false" customHeight="false" outlineLevel="0" collapsed="false">
      <c r="A370" s="16"/>
      <c r="B370" s="8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row>
    <row r="371" customFormat="false" ht="15.75" hidden="false" customHeight="false" outlineLevel="0" collapsed="false">
      <c r="A371" s="16"/>
      <c r="B371" s="8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row>
    <row r="372" customFormat="false" ht="15.75" hidden="false" customHeight="false" outlineLevel="0" collapsed="false">
      <c r="A372" s="16"/>
      <c r="B372" s="8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row>
    <row r="373" customFormat="false" ht="15.75" hidden="false" customHeight="false" outlineLevel="0" collapsed="false">
      <c r="A373" s="16"/>
      <c r="B373" s="8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row>
    <row r="374" customFormat="false" ht="15.75" hidden="false" customHeight="false" outlineLevel="0" collapsed="false">
      <c r="A374" s="16"/>
      <c r="B374" s="8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row>
    <row r="375" customFormat="false" ht="15.75" hidden="false" customHeight="false" outlineLevel="0" collapsed="false">
      <c r="A375" s="16"/>
      <c r="B375" s="8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row>
    <row r="376" customFormat="false" ht="15.75" hidden="false" customHeight="false" outlineLevel="0" collapsed="false">
      <c r="A376" s="16"/>
      <c r="B376" s="8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row>
    <row r="377" customFormat="false" ht="15.75" hidden="false" customHeight="false" outlineLevel="0" collapsed="false">
      <c r="A377" s="16"/>
      <c r="B377" s="8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row>
    <row r="378" customFormat="false" ht="15.75" hidden="false" customHeight="false" outlineLevel="0" collapsed="false">
      <c r="A378" s="16"/>
      <c r="B378" s="8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row>
    <row r="379" customFormat="false" ht="15.75" hidden="false" customHeight="false" outlineLevel="0" collapsed="false">
      <c r="A379" s="16"/>
      <c r="B379" s="8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row>
    <row r="380" customFormat="false" ht="15.75" hidden="false" customHeight="false" outlineLevel="0" collapsed="false">
      <c r="A380" s="16"/>
      <c r="B380" s="8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row>
    <row r="381" customFormat="false" ht="15.75" hidden="false" customHeight="false" outlineLevel="0" collapsed="false">
      <c r="A381" s="16"/>
      <c r="B381" s="8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row>
    <row r="382" customFormat="false" ht="15.75" hidden="false" customHeight="false" outlineLevel="0" collapsed="false">
      <c r="A382" s="16"/>
      <c r="B382" s="8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row>
    <row r="383" customFormat="false" ht="15.75" hidden="false" customHeight="false" outlineLevel="0" collapsed="false">
      <c r="A383" s="16"/>
      <c r="B383" s="8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row>
    <row r="384" customFormat="false" ht="15.75" hidden="false" customHeight="false" outlineLevel="0" collapsed="false">
      <c r="A384" s="16"/>
      <c r="B384" s="8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row>
    <row r="385" customFormat="false" ht="15.75" hidden="false" customHeight="false" outlineLevel="0" collapsed="false">
      <c r="A385" s="16"/>
      <c r="B385" s="8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row>
    <row r="386" customFormat="false" ht="15.75" hidden="false" customHeight="false" outlineLevel="0" collapsed="false">
      <c r="A386" s="16"/>
      <c r="B386" s="8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row>
    <row r="387" customFormat="false" ht="15.75" hidden="false" customHeight="false" outlineLevel="0" collapsed="false">
      <c r="A387" s="16"/>
      <c r="B387" s="8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row>
    <row r="388" customFormat="false" ht="15.75" hidden="false" customHeight="false" outlineLevel="0" collapsed="false">
      <c r="A388" s="16"/>
      <c r="B388" s="8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row>
    <row r="389" customFormat="false" ht="15.75" hidden="false" customHeight="false" outlineLevel="0" collapsed="false">
      <c r="A389" s="16"/>
      <c r="B389" s="8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row>
    <row r="390" customFormat="false" ht="15.75" hidden="false" customHeight="false" outlineLevel="0" collapsed="false">
      <c r="A390" s="16"/>
      <c r="B390" s="8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row>
    <row r="391" customFormat="false" ht="15.75" hidden="false" customHeight="false" outlineLevel="0" collapsed="false">
      <c r="A391" s="16"/>
      <c r="B391" s="8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row>
    <row r="392" customFormat="false" ht="15.75" hidden="false" customHeight="false" outlineLevel="0" collapsed="false">
      <c r="A392" s="16"/>
      <c r="B392" s="8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row>
    <row r="393" customFormat="false" ht="15.75" hidden="false" customHeight="false" outlineLevel="0" collapsed="false">
      <c r="A393" s="16"/>
      <c r="B393" s="8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row>
    <row r="394" customFormat="false" ht="15.75" hidden="false" customHeight="false" outlineLevel="0" collapsed="false">
      <c r="A394" s="16"/>
      <c r="B394" s="8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row>
    <row r="395" customFormat="false" ht="15.75" hidden="false" customHeight="false" outlineLevel="0" collapsed="false">
      <c r="A395" s="16"/>
      <c r="B395" s="8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row>
    <row r="396" customFormat="false" ht="15.75" hidden="false" customHeight="false" outlineLevel="0" collapsed="false">
      <c r="A396" s="16"/>
      <c r="B396" s="8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row>
    <row r="397" customFormat="false" ht="15.75" hidden="false" customHeight="false" outlineLevel="0" collapsed="false">
      <c r="A397" s="16"/>
      <c r="B397" s="8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row>
    <row r="398" customFormat="false" ht="15.75" hidden="false" customHeight="false" outlineLevel="0" collapsed="false">
      <c r="A398" s="16"/>
      <c r="B398" s="8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row>
    <row r="399" customFormat="false" ht="15.75" hidden="false" customHeight="false" outlineLevel="0" collapsed="false">
      <c r="A399" s="16"/>
      <c r="B399" s="8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row>
    <row r="400" customFormat="false" ht="15.75" hidden="false" customHeight="false" outlineLevel="0" collapsed="false">
      <c r="A400" s="16"/>
      <c r="B400" s="8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row>
    <row r="401" customFormat="false" ht="15.75" hidden="false" customHeight="false" outlineLevel="0" collapsed="false">
      <c r="A401" s="16"/>
      <c r="B401" s="8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row>
    <row r="402" customFormat="false" ht="15.75" hidden="false" customHeight="false" outlineLevel="0" collapsed="false">
      <c r="A402" s="16"/>
      <c r="B402" s="8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row>
    <row r="403" customFormat="false" ht="15.75" hidden="false" customHeight="false" outlineLevel="0" collapsed="false">
      <c r="A403" s="16"/>
      <c r="B403" s="8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row>
    <row r="404" customFormat="false" ht="15.75" hidden="false" customHeight="false" outlineLevel="0" collapsed="false">
      <c r="A404" s="16"/>
      <c r="B404" s="8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row>
    <row r="405" customFormat="false" ht="15.75" hidden="false" customHeight="false" outlineLevel="0" collapsed="false">
      <c r="A405" s="16"/>
      <c r="B405" s="8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row>
    <row r="406" customFormat="false" ht="15.75" hidden="false" customHeight="false" outlineLevel="0" collapsed="false">
      <c r="A406" s="16"/>
      <c r="B406" s="8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row>
    <row r="407" customFormat="false" ht="15.75" hidden="false" customHeight="false" outlineLevel="0" collapsed="false">
      <c r="A407" s="16"/>
      <c r="B407" s="8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row>
    <row r="408" customFormat="false" ht="15.75" hidden="false" customHeight="false" outlineLevel="0" collapsed="false">
      <c r="A408" s="16"/>
      <c r="B408" s="8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row>
    <row r="409" customFormat="false" ht="15.75" hidden="false" customHeight="false" outlineLevel="0" collapsed="false">
      <c r="A409" s="16"/>
      <c r="B409" s="8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row>
    <row r="410" customFormat="false" ht="15.75" hidden="false" customHeight="false" outlineLevel="0" collapsed="false">
      <c r="A410" s="16"/>
      <c r="B410" s="8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row>
    <row r="411" customFormat="false" ht="15.75" hidden="false" customHeight="false" outlineLevel="0" collapsed="false">
      <c r="A411" s="16"/>
      <c r="B411" s="8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row>
    <row r="412" customFormat="false" ht="15.75" hidden="false" customHeight="false" outlineLevel="0" collapsed="false">
      <c r="A412" s="16"/>
      <c r="B412" s="8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row>
    <row r="413" customFormat="false" ht="15.75" hidden="false" customHeight="false" outlineLevel="0" collapsed="false">
      <c r="A413" s="16"/>
      <c r="B413" s="8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row>
    <row r="414" customFormat="false" ht="15.75" hidden="false" customHeight="false" outlineLevel="0" collapsed="false">
      <c r="A414" s="16"/>
      <c r="B414" s="8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row>
    <row r="415" customFormat="false" ht="15.75" hidden="false" customHeight="false" outlineLevel="0" collapsed="false">
      <c r="A415" s="16"/>
      <c r="B415" s="8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row>
    <row r="416" customFormat="false" ht="15.75" hidden="false" customHeight="false" outlineLevel="0" collapsed="false">
      <c r="A416" s="16"/>
      <c r="B416" s="8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row>
    <row r="417" customFormat="false" ht="15.75" hidden="false" customHeight="false" outlineLevel="0" collapsed="false">
      <c r="A417" s="16"/>
      <c r="B417" s="8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row>
    <row r="418" customFormat="false" ht="15.75" hidden="false" customHeight="false" outlineLevel="0" collapsed="false">
      <c r="A418" s="16"/>
      <c r="B418" s="8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row>
    <row r="419" customFormat="false" ht="15.75" hidden="false" customHeight="false" outlineLevel="0" collapsed="false">
      <c r="A419" s="16"/>
      <c r="B419" s="8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row>
    <row r="420" customFormat="false" ht="15.75" hidden="false" customHeight="false" outlineLevel="0" collapsed="false">
      <c r="A420" s="16"/>
      <c r="B420" s="8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row>
    <row r="421" customFormat="false" ht="15.75" hidden="false" customHeight="false" outlineLevel="0" collapsed="false">
      <c r="A421" s="16"/>
      <c r="B421" s="8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row>
    <row r="422" customFormat="false" ht="15.75" hidden="false" customHeight="false" outlineLevel="0" collapsed="false">
      <c r="A422" s="16"/>
      <c r="B422" s="8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row>
    <row r="423" customFormat="false" ht="15.75" hidden="false" customHeight="false" outlineLevel="0" collapsed="false">
      <c r="A423" s="16"/>
      <c r="B423" s="8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row>
    <row r="424" customFormat="false" ht="15.75" hidden="false" customHeight="false" outlineLevel="0" collapsed="false">
      <c r="A424" s="16"/>
      <c r="B424" s="8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row>
    <row r="425" customFormat="false" ht="15.75" hidden="false" customHeight="false" outlineLevel="0" collapsed="false">
      <c r="A425" s="16"/>
      <c r="B425" s="8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row>
    <row r="426" customFormat="false" ht="15.75" hidden="false" customHeight="false" outlineLevel="0" collapsed="false">
      <c r="A426" s="16"/>
      <c r="B426" s="8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row>
    <row r="427" customFormat="false" ht="15.75" hidden="false" customHeight="false" outlineLevel="0" collapsed="false">
      <c r="A427" s="16"/>
      <c r="B427" s="8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row>
    <row r="428" customFormat="false" ht="15.75" hidden="false" customHeight="false" outlineLevel="0" collapsed="false">
      <c r="A428" s="16"/>
      <c r="B428" s="8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row>
    <row r="429" customFormat="false" ht="15.75" hidden="false" customHeight="false" outlineLevel="0" collapsed="false">
      <c r="A429" s="16"/>
      <c r="B429" s="8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row>
    <row r="430" customFormat="false" ht="15.75" hidden="false" customHeight="false" outlineLevel="0" collapsed="false">
      <c r="A430" s="16"/>
      <c r="B430" s="8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row>
    <row r="431" customFormat="false" ht="15.75" hidden="false" customHeight="false" outlineLevel="0" collapsed="false">
      <c r="A431" s="16"/>
      <c r="B431" s="8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row>
    <row r="432" customFormat="false" ht="15.75" hidden="false" customHeight="false" outlineLevel="0" collapsed="false">
      <c r="A432" s="16"/>
      <c r="B432" s="8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row>
    <row r="433" customFormat="false" ht="15.75" hidden="false" customHeight="false" outlineLevel="0" collapsed="false">
      <c r="A433" s="16"/>
      <c r="B433" s="8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row>
    <row r="434" customFormat="false" ht="15.75" hidden="false" customHeight="false" outlineLevel="0" collapsed="false">
      <c r="A434" s="16"/>
      <c r="B434" s="8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row>
    <row r="435" customFormat="false" ht="15.75" hidden="false" customHeight="false" outlineLevel="0" collapsed="false">
      <c r="A435" s="16"/>
      <c r="B435" s="8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row>
    <row r="436" customFormat="false" ht="15.75" hidden="false" customHeight="false" outlineLevel="0" collapsed="false">
      <c r="A436" s="16"/>
      <c r="B436" s="8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row>
    <row r="437" customFormat="false" ht="15.75" hidden="false" customHeight="false" outlineLevel="0" collapsed="false">
      <c r="A437" s="16"/>
      <c r="B437" s="8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row>
    <row r="438" customFormat="false" ht="15.75" hidden="false" customHeight="false" outlineLevel="0" collapsed="false">
      <c r="A438" s="16"/>
      <c r="B438" s="8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row>
    <row r="439" customFormat="false" ht="15.75" hidden="false" customHeight="false" outlineLevel="0" collapsed="false">
      <c r="A439" s="16"/>
      <c r="B439" s="8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row>
    <row r="440" customFormat="false" ht="15.75" hidden="false" customHeight="false" outlineLevel="0" collapsed="false">
      <c r="A440" s="16"/>
      <c r="B440" s="8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row>
    <row r="441" customFormat="false" ht="15.75" hidden="false" customHeight="false" outlineLevel="0" collapsed="false">
      <c r="A441" s="16"/>
      <c r="B441" s="8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row>
    <row r="442" customFormat="false" ht="15.75" hidden="false" customHeight="false" outlineLevel="0" collapsed="false">
      <c r="A442" s="16"/>
      <c r="B442" s="8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row>
    <row r="443" customFormat="false" ht="15.75" hidden="false" customHeight="false" outlineLevel="0" collapsed="false">
      <c r="A443" s="16"/>
      <c r="B443" s="8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row>
    <row r="444" customFormat="false" ht="15.75" hidden="false" customHeight="false" outlineLevel="0" collapsed="false">
      <c r="A444" s="16"/>
      <c r="B444" s="8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row>
    <row r="445" customFormat="false" ht="15.75" hidden="false" customHeight="false" outlineLevel="0" collapsed="false">
      <c r="A445" s="16"/>
      <c r="B445" s="8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row>
    <row r="446" customFormat="false" ht="15.75" hidden="false" customHeight="false" outlineLevel="0" collapsed="false">
      <c r="A446" s="16"/>
      <c r="B446" s="8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row>
    <row r="447" customFormat="false" ht="15.75" hidden="false" customHeight="false" outlineLevel="0" collapsed="false">
      <c r="A447" s="16"/>
      <c r="B447" s="8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row>
    <row r="448" customFormat="false" ht="15.75" hidden="false" customHeight="false" outlineLevel="0" collapsed="false">
      <c r="A448" s="16"/>
      <c r="B448" s="8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row>
    <row r="449" customFormat="false" ht="15.75" hidden="false" customHeight="false" outlineLevel="0" collapsed="false">
      <c r="A449" s="16"/>
      <c r="B449" s="8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row>
    <row r="450" customFormat="false" ht="15.75" hidden="false" customHeight="false" outlineLevel="0" collapsed="false">
      <c r="A450" s="16"/>
      <c r="B450" s="8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row>
    <row r="451" customFormat="false" ht="15.75" hidden="false" customHeight="false" outlineLevel="0" collapsed="false">
      <c r="A451" s="16"/>
      <c r="B451" s="8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row>
    <row r="452" customFormat="false" ht="15.75" hidden="false" customHeight="false" outlineLevel="0" collapsed="false">
      <c r="A452" s="16"/>
      <c r="B452" s="8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row>
    <row r="453" customFormat="false" ht="15.75" hidden="false" customHeight="false" outlineLevel="0" collapsed="false">
      <c r="A453" s="16"/>
      <c r="B453" s="8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row>
    <row r="454" customFormat="false" ht="15.75" hidden="false" customHeight="false" outlineLevel="0" collapsed="false">
      <c r="A454" s="16"/>
      <c r="B454" s="8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row>
    <row r="455" customFormat="false" ht="15.75" hidden="false" customHeight="false" outlineLevel="0" collapsed="false">
      <c r="A455" s="16"/>
      <c r="B455" s="8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row>
    <row r="456" customFormat="false" ht="15.75" hidden="false" customHeight="false" outlineLevel="0" collapsed="false">
      <c r="A456" s="16"/>
      <c r="B456" s="8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row>
    <row r="457" customFormat="false" ht="15.75" hidden="false" customHeight="false" outlineLevel="0" collapsed="false">
      <c r="A457" s="16"/>
      <c r="B457" s="8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row>
    <row r="458" customFormat="false" ht="15.75" hidden="false" customHeight="false" outlineLevel="0" collapsed="false">
      <c r="A458" s="16"/>
      <c r="B458" s="8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row>
    <row r="459" customFormat="false" ht="15.75" hidden="false" customHeight="false" outlineLevel="0" collapsed="false">
      <c r="A459" s="16"/>
      <c r="B459" s="8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row>
    <row r="460" customFormat="false" ht="15.75" hidden="false" customHeight="false" outlineLevel="0" collapsed="false">
      <c r="A460" s="16"/>
      <c r="B460" s="8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row>
    <row r="461" customFormat="false" ht="15.75" hidden="false" customHeight="false" outlineLevel="0" collapsed="false">
      <c r="A461" s="16"/>
      <c r="B461" s="8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row>
    <row r="462" customFormat="false" ht="15.75" hidden="false" customHeight="false" outlineLevel="0" collapsed="false">
      <c r="A462" s="16"/>
      <c r="B462" s="8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row>
    <row r="463" customFormat="false" ht="15.75" hidden="false" customHeight="false" outlineLevel="0" collapsed="false">
      <c r="A463" s="16"/>
      <c r="B463" s="8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row>
    <row r="464" customFormat="false" ht="15.75" hidden="false" customHeight="false" outlineLevel="0" collapsed="false">
      <c r="A464" s="16"/>
      <c r="B464" s="8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row>
    <row r="465" customFormat="false" ht="15.75" hidden="false" customHeight="false" outlineLevel="0" collapsed="false">
      <c r="A465" s="16"/>
      <c r="B465" s="8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row>
    <row r="466" customFormat="false" ht="15.75" hidden="false" customHeight="false" outlineLevel="0" collapsed="false">
      <c r="A466" s="16"/>
      <c r="B466" s="8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row>
    <row r="467" customFormat="false" ht="15.75" hidden="false" customHeight="false" outlineLevel="0" collapsed="false">
      <c r="A467" s="16"/>
      <c r="B467" s="8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row>
    <row r="468" customFormat="false" ht="15.75" hidden="false" customHeight="false" outlineLevel="0" collapsed="false">
      <c r="A468" s="16"/>
      <c r="B468" s="8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row>
    <row r="469" customFormat="false" ht="15.75" hidden="false" customHeight="false" outlineLevel="0" collapsed="false">
      <c r="A469" s="16"/>
      <c r="B469" s="8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row>
    <row r="470" customFormat="false" ht="15.75" hidden="false" customHeight="false" outlineLevel="0" collapsed="false">
      <c r="A470" s="16"/>
      <c r="B470" s="8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row>
    <row r="471" customFormat="false" ht="15.75" hidden="false" customHeight="false" outlineLevel="0" collapsed="false">
      <c r="A471" s="16"/>
      <c r="B471" s="8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row>
    <row r="472" customFormat="false" ht="15.75" hidden="false" customHeight="false" outlineLevel="0" collapsed="false">
      <c r="A472" s="16"/>
      <c r="B472" s="8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row>
    <row r="473" customFormat="false" ht="15.75" hidden="false" customHeight="false" outlineLevel="0" collapsed="false">
      <c r="A473" s="16"/>
      <c r="B473" s="8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row>
    <row r="474" customFormat="false" ht="15.75" hidden="false" customHeight="false" outlineLevel="0" collapsed="false">
      <c r="A474" s="16"/>
      <c r="B474" s="8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row>
    <row r="475" customFormat="false" ht="15.75" hidden="false" customHeight="false" outlineLevel="0" collapsed="false">
      <c r="A475" s="16"/>
      <c r="B475" s="8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row>
    <row r="476" customFormat="false" ht="15.75" hidden="false" customHeight="false" outlineLevel="0" collapsed="false">
      <c r="A476" s="16"/>
      <c r="B476" s="8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row>
    <row r="477" customFormat="false" ht="15.75" hidden="false" customHeight="false" outlineLevel="0" collapsed="false">
      <c r="A477" s="16"/>
      <c r="B477" s="8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row>
    <row r="478" customFormat="false" ht="15.75" hidden="false" customHeight="false" outlineLevel="0" collapsed="false">
      <c r="A478" s="16"/>
      <c r="B478" s="8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row>
    <row r="479" customFormat="false" ht="15.75" hidden="false" customHeight="false" outlineLevel="0" collapsed="false">
      <c r="A479" s="16"/>
      <c r="B479" s="8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row>
    <row r="480" customFormat="false" ht="15.75" hidden="false" customHeight="false" outlineLevel="0" collapsed="false">
      <c r="A480" s="16"/>
      <c r="B480" s="8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row>
    <row r="481" customFormat="false" ht="15.75" hidden="false" customHeight="false" outlineLevel="0" collapsed="false">
      <c r="A481" s="16"/>
      <c r="B481" s="8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row>
    <row r="482" customFormat="false" ht="15.75" hidden="false" customHeight="false" outlineLevel="0" collapsed="false">
      <c r="A482" s="16"/>
      <c r="B482" s="8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row>
    <row r="483" customFormat="false" ht="15.75" hidden="false" customHeight="false" outlineLevel="0" collapsed="false">
      <c r="A483" s="16"/>
      <c r="B483" s="8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row>
    <row r="484" customFormat="false" ht="15.75" hidden="false" customHeight="false" outlineLevel="0" collapsed="false">
      <c r="A484" s="16"/>
      <c r="B484" s="8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row>
    <row r="485" customFormat="false" ht="15.75" hidden="false" customHeight="false" outlineLevel="0" collapsed="false">
      <c r="A485" s="16"/>
      <c r="B485" s="8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row>
    <row r="486" customFormat="false" ht="15.75" hidden="false" customHeight="false" outlineLevel="0" collapsed="false">
      <c r="A486" s="16"/>
      <c r="B486" s="8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row>
    <row r="487" customFormat="false" ht="15.75" hidden="false" customHeight="false" outlineLevel="0" collapsed="false">
      <c r="A487" s="16"/>
      <c r="B487" s="8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row>
    <row r="488" customFormat="false" ht="15.75" hidden="false" customHeight="false" outlineLevel="0" collapsed="false">
      <c r="A488" s="16"/>
      <c r="B488" s="8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row>
    <row r="489" customFormat="false" ht="15.75" hidden="false" customHeight="false" outlineLevel="0" collapsed="false">
      <c r="A489" s="16"/>
      <c r="B489" s="8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row>
    <row r="490" customFormat="false" ht="15.75" hidden="false" customHeight="false" outlineLevel="0" collapsed="false">
      <c r="A490" s="16"/>
      <c r="B490" s="8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row>
    <row r="491" customFormat="false" ht="15.75" hidden="false" customHeight="false" outlineLevel="0" collapsed="false">
      <c r="A491" s="16"/>
      <c r="B491" s="8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row>
    <row r="492" customFormat="false" ht="15.75" hidden="false" customHeight="false" outlineLevel="0" collapsed="false">
      <c r="A492" s="16"/>
      <c r="B492" s="8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row>
    <row r="493" customFormat="false" ht="15.75" hidden="false" customHeight="false" outlineLevel="0" collapsed="false">
      <c r="A493" s="16"/>
      <c r="B493" s="8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row>
    <row r="494" customFormat="false" ht="15.75" hidden="false" customHeight="false" outlineLevel="0" collapsed="false">
      <c r="A494" s="16"/>
      <c r="B494" s="8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row>
    <row r="495" customFormat="false" ht="15.75" hidden="false" customHeight="false" outlineLevel="0" collapsed="false">
      <c r="A495" s="16"/>
      <c r="B495" s="8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row>
    <row r="496" customFormat="false" ht="15.75" hidden="false" customHeight="false" outlineLevel="0" collapsed="false">
      <c r="A496" s="16"/>
      <c r="B496" s="8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row>
    <row r="497" customFormat="false" ht="15.75" hidden="false" customHeight="false" outlineLevel="0" collapsed="false">
      <c r="A497" s="16"/>
      <c r="B497" s="8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row>
    <row r="498" customFormat="false" ht="15.75" hidden="false" customHeight="false" outlineLevel="0" collapsed="false">
      <c r="A498" s="16"/>
      <c r="B498" s="8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row>
    <row r="499" customFormat="false" ht="15.75" hidden="false" customHeight="false" outlineLevel="0" collapsed="false">
      <c r="A499" s="16"/>
      <c r="B499" s="8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row>
    <row r="500" customFormat="false" ht="15.75" hidden="false" customHeight="false" outlineLevel="0" collapsed="false">
      <c r="A500" s="16"/>
      <c r="B500" s="8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row>
    <row r="501" customFormat="false" ht="15.75" hidden="false" customHeight="false" outlineLevel="0" collapsed="false">
      <c r="A501" s="16"/>
      <c r="B501" s="8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row>
    <row r="502" customFormat="false" ht="15.75" hidden="false" customHeight="false" outlineLevel="0" collapsed="false">
      <c r="A502" s="16"/>
      <c r="B502" s="8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row>
    <row r="503" customFormat="false" ht="15.75" hidden="false" customHeight="false" outlineLevel="0" collapsed="false">
      <c r="A503" s="16"/>
      <c r="B503" s="8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row>
    <row r="504" customFormat="false" ht="15.75" hidden="false" customHeight="false" outlineLevel="0" collapsed="false">
      <c r="A504" s="16"/>
      <c r="B504" s="8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row>
    <row r="505" customFormat="false" ht="15.75" hidden="false" customHeight="false" outlineLevel="0" collapsed="false">
      <c r="A505" s="16"/>
      <c r="B505" s="8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row>
    <row r="506" customFormat="false" ht="15.75" hidden="false" customHeight="false" outlineLevel="0" collapsed="false">
      <c r="A506" s="16"/>
      <c r="B506" s="8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row>
    <row r="507" customFormat="false" ht="15.75" hidden="false" customHeight="false" outlineLevel="0" collapsed="false">
      <c r="A507" s="16"/>
      <c r="B507" s="8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row>
    <row r="508" customFormat="false" ht="15.75" hidden="false" customHeight="false" outlineLevel="0" collapsed="false">
      <c r="A508" s="16"/>
      <c r="B508" s="8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row>
    <row r="509" customFormat="false" ht="15.75" hidden="false" customHeight="false" outlineLevel="0" collapsed="false">
      <c r="A509" s="16"/>
      <c r="B509" s="8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row>
    <row r="510" customFormat="false" ht="15.75" hidden="false" customHeight="false" outlineLevel="0" collapsed="false">
      <c r="A510" s="16"/>
      <c r="B510" s="8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row>
    <row r="511" customFormat="false" ht="15.75" hidden="false" customHeight="false" outlineLevel="0" collapsed="false">
      <c r="A511" s="16"/>
      <c r="B511" s="8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row>
    <row r="512" customFormat="false" ht="15.75" hidden="false" customHeight="false" outlineLevel="0" collapsed="false">
      <c r="A512" s="16"/>
      <c r="B512" s="8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row>
    <row r="513" customFormat="false" ht="15.75" hidden="false" customHeight="false" outlineLevel="0" collapsed="false">
      <c r="A513" s="16"/>
      <c r="B513" s="8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row>
    <row r="514" customFormat="false" ht="15.75" hidden="false" customHeight="false" outlineLevel="0" collapsed="false">
      <c r="A514" s="16"/>
      <c r="B514" s="8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row>
    <row r="515" customFormat="false" ht="15.75" hidden="false" customHeight="false" outlineLevel="0" collapsed="false">
      <c r="A515" s="16"/>
      <c r="B515" s="8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row>
    <row r="516" customFormat="false" ht="15.75" hidden="false" customHeight="false" outlineLevel="0" collapsed="false">
      <c r="A516" s="16"/>
      <c r="B516" s="8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row>
    <row r="517" customFormat="false" ht="15.75" hidden="false" customHeight="false" outlineLevel="0" collapsed="false">
      <c r="A517" s="16"/>
      <c r="B517" s="8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row>
    <row r="518" customFormat="false" ht="15.75" hidden="false" customHeight="false" outlineLevel="0" collapsed="false">
      <c r="A518" s="16"/>
      <c r="B518" s="8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row>
    <row r="519" customFormat="false" ht="15.75" hidden="false" customHeight="false" outlineLevel="0" collapsed="false">
      <c r="A519" s="16"/>
      <c r="B519" s="8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row>
    <row r="520" customFormat="false" ht="15.75" hidden="false" customHeight="false" outlineLevel="0" collapsed="false">
      <c r="A520" s="16"/>
      <c r="B520" s="8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row>
    <row r="521" customFormat="false" ht="15.75" hidden="false" customHeight="false" outlineLevel="0" collapsed="false">
      <c r="A521" s="16"/>
      <c r="B521" s="8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row>
    <row r="522" customFormat="false" ht="15.75" hidden="false" customHeight="false" outlineLevel="0" collapsed="false">
      <c r="A522" s="16"/>
      <c r="B522" s="8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row>
    <row r="523" customFormat="false" ht="15.75" hidden="false" customHeight="false" outlineLevel="0" collapsed="false">
      <c r="A523" s="16"/>
      <c r="B523" s="8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row>
    <row r="524" customFormat="false" ht="15.75" hidden="false" customHeight="false" outlineLevel="0" collapsed="false">
      <c r="A524" s="16"/>
      <c r="B524" s="8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row>
    <row r="525" customFormat="false" ht="15.75" hidden="false" customHeight="false" outlineLevel="0" collapsed="false">
      <c r="A525" s="16"/>
      <c r="B525" s="8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row>
    <row r="526" customFormat="false" ht="15.75" hidden="false" customHeight="false" outlineLevel="0" collapsed="false">
      <c r="A526" s="16"/>
      <c r="B526" s="8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row>
    <row r="527" customFormat="false" ht="15.75" hidden="false" customHeight="false" outlineLevel="0" collapsed="false">
      <c r="A527" s="16"/>
      <c r="B527" s="8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row>
    <row r="528" customFormat="false" ht="15.75" hidden="false" customHeight="false" outlineLevel="0" collapsed="false">
      <c r="A528" s="16"/>
      <c r="B528" s="8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row>
    <row r="529" customFormat="false" ht="15.75" hidden="false" customHeight="false" outlineLevel="0" collapsed="false">
      <c r="A529" s="16"/>
      <c r="B529" s="8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row>
    <row r="530" customFormat="false" ht="15.75" hidden="false" customHeight="false" outlineLevel="0" collapsed="false">
      <c r="A530" s="16"/>
      <c r="B530" s="8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row>
    <row r="531" customFormat="false" ht="15.75" hidden="false" customHeight="false" outlineLevel="0" collapsed="false">
      <c r="A531" s="16"/>
      <c r="B531" s="8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row>
    <row r="532" customFormat="false" ht="15.75" hidden="false" customHeight="false" outlineLevel="0" collapsed="false">
      <c r="A532" s="16"/>
      <c r="B532" s="8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row>
    <row r="533" customFormat="false" ht="15.75" hidden="false" customHeight="false" outlineLevel="0" collapsed="false">
      <c r="A533" s="16"/>
      <c r="B533" s="8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row>
    <row r="534" customFormat="false" ht="15.75" hidden="false" customHeight="false" outlineLevel="0" collapsed="false">
      <c r="A534" s="16"/>
      <c r="B534" s="8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row>
    <row r="535" customFormat="false" ht="15.75" hidden="false" customHeight="false" outlineLevel="0" collapsed="false">
      <c r="A535" s="16"/>
      <c r="B535" s="8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row>
    <row r="536" customFormat="false" ht="15.75" hidden="false" customHeight="false" outlineLevel="0" collapsed="false">
      <c r="A536" s="16"/>
      <c r="B536" s="8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row>
    <row r="537" customFormat="false" ht="15.75" hidden="false" customHeight="false" outlineLevel="0" collapsed="false">
      <c r="A537" s="16"/>
      <c r="B537" s="8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row>
    <row r="538" customFormat="false" ht="15.75" hidden="false" customHeight="false" outlineLevel="0" collapsed="false">
      <c r="A538" s="16"/>
      <c r="B538" s="8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row>
    <row r="539" customFormat="false" ht="15.75" hidden="false" customHeight="false" outlineLevel="0" collapsed="false">
      <c r="A539" s="16"/>
      <c r="B539" s="8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row>
    <row r="540" customFormat="false" ht="15.75" hidden="false" customHeight="false" outlineLevel="0" collapsed="false">
      <c r="A540" s="16"/>
      <c r="B540" s="8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row>
    <row r="541" customFormat="false" ht="15.75" hidden="false" customHeight="false" outlineLevel="0" collapsed="false">
      <c r="A541" s="16"/>
      <c r="B541" s="8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row>
    <row r="542" customFormat="false" ht="15.75" hidden="false" customHeight="false" outlineLevel="0" collapsed="false">
      <c r="A542" s="16"/>
      <c r="B542" s="8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row>
    <row r="543" customFormat="false" ht="15.75" hidden="false" customHeight="false" outlineLevel="0" collapsed="false">
      <c r="A543" s="16"/>
      <c r="B543" s="8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row>
    <row r="544" customFormat="false" ht="15.75" hidden="false" customHeight="false" outlineLevel="0" collapsed="false">
      <c r="A544" s="16"/>
      <c r="B544" s="8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row>
    <row r="545" customFormat="false" ht="15.75" hidden="false" customHeight="false" outlineLevel="0" collapsed="false">
      <c r="A545" s="16"/>
      <c r="B545" s="8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row>
    <row r="546" customFormat="false" ht="15.75" hidden="false" customHeight="false" outlineLevel="0" collapsed="false">
      <c r="A546" s="16"/>
      <c r="B546" s="8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row>
    <row r="547" customFormat="false" ht="15.75" hidden="false" customHeight="false" outlineLevel="0" collapsed="false">
      <c r="A547" s="16"/>
      <c r="B547" s="8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row>
    <row r="548" customFormat="false" ht="15.75" hidden="false" customHeight="false" outlineLevel="0" collapsed="false">
      <c r="A548" s="16"/>
      <c r="B548" s="8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row>
    <row r="549" customFormat="false" ht="15.75" hidden="false" customHeight="false" outlineLevel="0" collapsed="false">
      <c r="A549" s="16"/>
      <c r="B549" s="8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row>
    <row r="550" customFormat="false" ht="15.75" hidden="false" customHeight="false" outlineLevel="0" collapsed="false">
      <c r="A550" s="16"/>
      <c r="B550" s="8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row>
    <row r="551" customFormat="false" ht="15.75" hidden="false" customHeight="false" outlineLevel="0" collapsed="false">
      <c r="A551" s="16"/>
      <c r="B551" s="8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row>
    <row r="552" customFormat="false" ht="15.75" hidden="false" customHeight="false" outlineLevel="0" collapsed="false">
      <c r="A552" s="16"/>
      <c r="B552" s="8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row>
    <row r="553" customFormat="false" ht="15.75" hidden="false" customHeight="false" outlineLevel="0" collapsed="false">
      <c r="A553" s="16"/>
      <c r="B553" s="8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row>
    <row r="554" customFormat="false" ht="15.75" hidden="false" customHeight="false" outlineLevel="0" collapsed="false">
      <c r="A554" s="16"/>
      <c r="B554" s="8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row>
    <row r="555" customFormat="false" ht="15.75" hidden="false" customHeight="false" outlineLevel="0" collapsed="false">
      <c r="A555" s="16"/>
      <c r="B555" s="8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row>
    <row r="556" customFormat="false" ht="15.75" hidden="false" customHeight="false" outlineLevel="0" collapsed="false">
      <c r="A556" s="16"/>
      <c r="B556" s="8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row>
    <row r="557" customFormat="false" ht="15.75" hidden="false" customHeight="false" outlineLevel="0" collapsed="false">
      <c r="A557" s="16"/>
      <c r="B557" s="8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row>
    <row r="558" customFormat="false" ht="15.75" hidden="false" customHeight="false" outlineLevel="0" collapsed="false">
      <c r="A558" s="16"/>
      <c r="B558" s="8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row>
    <row r="559" customFormat="false" ht="15.75" hidden="false" customHeight="false" outlineLevel="0" collapsed="false">
      <c r="A559" s="16"/>
      <c r="B559" s="8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row>
    <row r="560" customFormat="false" ht="15.75" hidden="false" customHeight="false" outlineLevel="0" collapsed="false">
      <c r="A560" s="16"/>
      <c r="B560" s="8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row>
    <row r="561" customFormat="false" ht="15.75" hidden="false" customHeight="false" outlineLevel="0" collapsed="false">
      <c r="A561" s="16"/>
      <c r="B561" s="8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row>
    <row r="562" customFormat="false" ht="15.75" hidden="false" customHeight="false" outlineLevel="0" collapsed="false">
      <c r="A562" s="16"/>
      <c r="B562" s="8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row>
    <row r="563" customFormat="false" ht="15.75" hidden="false" customHeight="false" outlineLevel="0" collapsed="false">
      <c r="A563" s="16"/>
      <c r="B563" s="8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row>
    <row r="564" customFormat="false" ht="15.75" hidden="false" customHeight="false" outlineLevel="0" collapsed="false">
      <c r="A564" s="16"/>
      <c r="B564" s="8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row>
    <row r="565" customFormat="false" ht="15.75" hidden="false" customHeight="false" outlineLevel="0" collapsed="false">
      <c r="A565" s="16"/>
      <c r="B565" s="8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row>
    <row r="566" customFormat="false" ht="15.75" hidden="false" customHeight="false" outlineLevel="0" collapsed="false">
      <c r="A566" s="16"/>
      <c r="B566" s="8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row>
    <row r="567" customFormat="false" ht="15.75" hidden="false" customHeight="false" outlineLevel="0" collapsed="false">
      <c r="A567" s="16"/>
      <c r="B567" s="8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row>
    <row r="568" customFormat="false" ht="15.75" hidden="false" customHeight="false" outlineLevel="0" collapsed="false">
      <c r="A568" s="16"/>
      <c r="B568" s="8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row>
    <row r="569" customFormat="false" ht="15.75" hidden="false" customHeight="false" outlineLevel="0" collapsed="false">
      <c r="A569" s="16"/>
      <c r="B569" s="8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row>
    <row r="570" customFormat="false" ht="15.75" hidden="false" customHeight="false" outlineLevel="0" collapsed="false">
      <c r="A570" s="16"/>
      <c r="B570" s="8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row>
    <row r="571" customFormat="false" ht="15.75" hidden="false" customHeight="false" outlineLevel="0" collapsed="false">
      <c r="A571" s="16"/>
      <c r="B571" s="8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row>
    <row r="572" customFormat="false" ht="15.75" hidden="false" customHeight="false" outlineLevel="0" collapsed="false">
      <c r="A572" s="16"/>
      <c r="B572" s="8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row>
    <row r="573" customFormat="false" ht="15.75" hidden="false" customHeight="false" outlineLevel="0" collapsed="false">
      <c r="A573" s="16"/>
      <c r="B573" s="8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row>
    <row r="574" customFormat="false" ht="15.75" hidden="false" customHeight="false" outlineLevel="0" collapsed="false">
      <c r="A574" s="16"/>
      <c r="B574" s="8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row>
    <row r="575" customFormat="false" ht="15.75" hidden="false" customHeight="false" outlineLevel="0" collapsed="false">
      <c r="A575" s="16"/>
      <c r="B575" s="8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row>
    <row r="576" customFormat="false" ht="15.75" hidden="false" customHeight="false" outlineLevel="0" collapsed="false">
      <c r="A576" s="16"/>
      <c r="B576" s="8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row>
    <row r="577" customFormat="false" ht="15.75" hidden="false" customHeight="false" outlineLevel="0" collapsed="false">
      <c r="A577" s="16"/>
      <c r="B577" s="8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row>
    <row r="578" customFormat="false" ht="15.75" hidden="false" customHeight="false" outlineLevel="0" collapsed="false">
      <c r="A578" s="16"/>
      <c r="B578" s="8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row>
    <row r="579" customFormat="false" ht="15.75" hidden="false" customHeight="false" outlineLevel="0" collapsed="false">
      <c r="A579" s="16"/>
      <c r="B579" s="8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row>
    <row r="580" customFormat="false" ht="15.75" hidden="false" customHeight="false" outlineLevel="0" collapsed="false">
      <c r="A580" s="16"/>
      <c r="B580" s="8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row>
    <row r="581" customFormat="false" ht="15.75" hidden="false" customHeight="false" outlineLevel="0" collapsed="false">
      <c r="A581" s="16"/>
      <c r="B581" s="8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row>
    <row r="582" customFormat="false" ht="15.75" hidden="false" customHeight="false" outlineLevel="0" collapsed="false">
      <c r="A582" s="16"/>
      <c r="B582" s="8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row>
    <row r="583" customFormat="false" ht="15.75" hidden="false" customHeight="false" outlineLevel="0" collapsed="false">
      <c r="A583" s="16"/>
      <c r="B583" s="8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row>
    <row r="584" customFormat="false" ht="15.75" hidden="false" customHeight="false" outlineLevel="0" collapsed="false">
      <c r="A584" s="16"/>
      <c r="B584" s="8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row>
    <row r="585" customFormat="false" ht="15.75" hidden="false" customHeight="false" outlineLevel="0" collapsed="false">
      <c r="A585" s="16"/>
      <c r="B585" s="8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row>
    <row r="586" customFormat="false" ht="15.75" hidden="false" customHeight="false" outlineLevel="0" collapsed="false">
      <c r="A586" s="16"/>
      <c r="B586" s="8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row>
    <row r="587" customFormat="false" ht="15.75" hidden="false" customHeight="false" outlineLevel="0" collapsed="false">
      <c r="A587" s="16"/>
      <c r="B587" s="8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row>
    <row r="588" customFormat="false" ht="15.75" hidden="false" customHeight="false" outlineLevel="0" collapsed="false">
      <c r="A588" s="16"/>
      <c r="B588" s="8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row>
    <row r="589" customFormat="false" ht="15.75" hidden="false" customHeight="false" outlineLevel="0" collapsed="false">
      <c r="A589" s="16"/>
      <c r="B589" s="8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row>
    <row r="590" customFormat="false" ht="15.75" hidden="false" customHeight="false" outlineLevel="0" collapsed="false">
      <c r="A590" s="16"/>
      <c r="B590" s="8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row>
    <row r="591" customFormat="false" ht="15.75" hidden="false" customHeight="false" outlineLevel="0" collapsed="false">
      <c r="A591" s="16"/>
      <c r="B591" s="8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row>
    <row r="592" customFormat="false" ht="15.75" hidden="false" customHeight="false" outlineLevel="0" collapsed="false">
      <c r="A592" s="16"/>
      <c r="B592" s="8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row>
    <row r="593" customFormat="false" ht="15.75" hidden="false" customHeight="false" outlineLevel="0" collapsed="false">
      <c r="A593" s="16"/>
      <c r="B593" s="8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row>
    <row r="594" customFormat="false" ht="15.75" hidden="false" customHeight="false" outlineLevel="0" collapsed="false">
      <c r="A594" s="16"/>
      <c r="B594" s="8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row>
    <row r="595" customFormat="false" ht="15.75" hidden="false" customHeight="false" outlineLevel="0" collapsed="false">
      <c r="A595" s="16"/>
      <c r="B595" s="8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row>
    <row r="596" customFormat="false" ht="15.75" hidden="false" customHeight="false" outlineLevel="0" collapsed="false">
      <c r="A596" s="16"/>
      <c r="B596" s="8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row>
    <row r="597" customFormat="false" ht="15.75" hidden="false" customHeight="false" outlineLevel="0" collapsed="false">
      <c r="A597" s="16"/>
      <c r="B597" s="8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row>
    <row r="598" customFormat="false" ht="15.75" hidden="false" customHeight="false" outlineLevel="0" collapsed="false">
      <c r="A598" s="16"/>
      <c r="B598" s="8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row>
    <row r="599" customFormat="false" ht="15.75" hidden="false" customHeight="false" outlineLevel="0" collapsed="false">
      <c r="A599" s="16"/>
      <c r="B599" s="8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row>
    <row r="600" customFormat="false" ht="15.75" hidden="false" customHeight="false" outlineLevel="0" collapsed="false">
      <c r="A600" s="16"/>
      <c r="B600" s="8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row>
    <row r="601" customFormat="false" ht="15.75" hidden="false" customHeight="false" outlineLevel="0" collapsed="false">
      <c r="A601" s="16"/>
      <c r="B601" s="8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row>
    <row r="602" customFormat="false" ht="15.75" hidden="false" customHeight="false" outlineLevel="0" collapsed="false">
      <c r="A602" s="16"/>
      <c r="B602" s="8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row>
    <row r="603" customFormat="false" ht="15.75" hidden="false" customHeight="false" outlineLevel="0" collapsed="false">
      <c r="A603" s="16"/>
      <c r="B603" s="8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row>
    <row r="604" customFormat="false" ht="15.75" hidden="false" customHeight="false" outlineLevel="0" collapsed="false">
      <c r="A604" s="16"/>
      <c r="B604" s="8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row>
    <row r="605" customFormat="false" ht="15.75" hidden="false" customHeight="false" outlineLevel="0" collapsed="false">
      <c r="A605" s="16"/>
      <c r="B605" s="8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row>
    <row r="606" customFormat="false" ht="15.75" hidden="false" customHeight="false" outlineLevel="0" collapsed="false">
      <c r="A606" s="16"/>
      <c r="B606" s="8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row>
    <row r="607" customFormat="false" ht="15.75" hidden="false" customHeight="false" outlineLevel="0" collapsed="false">
      <c r="A607" s="16"/>
      <c r="B607" s="8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row>
    <row r="608" customFormat="false" ht="15.75" hidden="false" customHeight="false" outlineLevel="0" collapsed="false">
      <c r="A608" s="16"/>
      <c r="B608" s="8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row>
    <row r="609" customFormat="false" ht="15.75" hidden="false" customHeight="false" outlineLevel="0" collapsed="false">
      <c r="A609" s="16"/>
      <c r="B609" s="8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row>
    <row r="610" customFormat="false" ht="15.75" hidden="false" customHeight="false" outlineLevel="0" collapsed="false">
      <c r="A610" s="16"/>
      <c r="B610" s="8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row>
    <row r="611" customFormat="false" ht="15.75" hidden="false" customHeight="false" outlineLevel="0" collapsed="false">
      <c r="A611" s="16"/>
      <c r="B611" s="8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row>
    <row r="612" customFormat="false" ht="15.75" hidden="false" customHeight="false" outlineLevel="0" collapsed="false">
      <c r="A612" s="16"/>
      <c r="B612" s="8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row>
    <row r="613" customFormat="false" ht="15.75" hidden="false" customHeight="false" outlineLevel="0" collapsed="false">
      <c r="A613" s="16"/>
      <c r="B613" s="8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row>
    <row r="614" customFormat="false" ht="15.75" hidden="false" customHeight="false" outlineLevel="0" collapsed="false">
      <c r="A614" s="16"/>
      <c r="B614" s="8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row>
    <row r="615" customFormat="false" ht="15.75" hidden="false" customHeight="false" outlineLevel="0" collapsed="false">
      <c r="A615" s="16"/>
      <c r="B615" s="8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row>
    <row r="616" customFormat="false" ht="15.75" hidden="false" customHeight="false" outlineLevel="0" collapsed="false">
      <c r="A616" s="16"/>
      <c r="B616" s="8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row>
    <row r="617" customFormat="false" ht="15.75" hidden="false" customHeight="false" outlineLevel="0" collapsed="false">
      <c r="A617" s="16"/>
      <c r="B617" s="8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row>
    <row r="618" customFormat="false" ht="15.75" hidden="false" customHeight="false" outlineLevel="0" collapsed="false">
      <c r="A618" s="16"/>
      <c r="B618" s="8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row>
    <row r="619" customFormat="false" ht="15.75" hidden="false" customHeight="false" outlineLevel="0" collapsed="false">
      <c r="A619" s="16"/>
      <c r="B619" s="8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row>
    <row r="620" customFormat="false" ht="15.75" hidden="false" customHeight="false" outlineLevel="0" collapsed="false">
      <c r="A620" s="16"/>
      <c r="B620" s="8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row>
    <row r="621" customFormat="false" ht="15.75" hidden="false" customHeight="false" outlineLevel="0" collapsed="false">
      <c r="A621" s="16"/>
      <c r="B621" s="8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row>
    <row r="622" customFormat="false" ht="15.75" hidden="false" customHeight="false" outlineLevel="0" collapsed="false">
      <c r="A622" s="16"/>
      <c r="B622" s="8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row>
    <row r="623" customFormat="false" ht="15.75" hidden="false" customHeight="false" outlineLevel="0" collapsed="false">
      <c r="A623" s="16"/>
      <c r="B623" s="8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row>
    <row r="624" customFormat="false" ht="15.75" hidden="false" customHeight="false" outlineLevel="0" collapsed="false">
      <c r="A624" s="16"/>
      <c r="B624" s="8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row>
    <row r="625" customFormat="false" ht="15.75" hidden="false" customHeight="false" outlineLevel="0" collapsed="false">
      <c r="A625" s="16"/>
      <c r="B625" s="8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row>
    <row r="626" customFormat="false" ht="15.75" hidden="false" customHeight="false" outlineLevel="0" collapsed="false">
      <c r="A626" s="16"/>
      <c r="B626" s="8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row>
    <row r="627" customFormat="false" ht="15.75" hidden="false" customHeight="false" outlineLevel="0" collapsed="false">
      <c r="A627" s="16"/>
      <c r="B627" s="8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row>
    <row r="628" customFormat="false" ht="15.75" hidden="false" customHeight="false" outlineLevel="0" collapsed="false">
      <c r="A628" s="16"/>
      <c r="B628" s="8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row>
    <row r="629" customFormat="false" ht="15.75" hidden="false" customHeight="false" outlineLevel="0" collapsed="false">
      <c r="A629" s="16"/>
      <c r="B629" s="8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row>
    <row r="630" customFormat="false" ht="15.75" hidden="false" customHeight="false" outlineLevel="0" collapsed="false">
      <c r="A630" s="16"/>
      <c r="B630" s="8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row>
    <row r="631" customFormat="false" ht="15.75" hidden="false" customHeight="false" outlineLevel="0" collapsed="false">
      <c r="A631" s="16"/>
      <c r="B631" s="8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row>
    <row r="632" customFormat="false" ht="15.75" hidden="false" customHeight="false" outlineLevel="0" collapsed="false">
      <c r="A632" s="16"/>
      <c r="B632" s="8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row>
    <row r="633" customFormat="false" ht="15.75" hidden="false" customHeight="false" outlineLevel="0" collapsed="false">
      <c r="A633" s="16"/>
      <c r="B633" s="8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row>
    <row r="634" customFormat="false" ht="15.75" hidden="false" customHeight="false" outlineLevel="0" collapsed="false">
      <c r="A634" s="16"/>
      <c r="B634" s="8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row>
    <row r="635" customFormat="false" ht="15.75" hidden="false" customHeight="false" outlineLevel="0" collapsed="false">
      <c r="A635" s="16"/>
      <c r="B635" s="8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row>
    <row r="636" customFormat="false" ht="15.75" hidden="false" customHeight="false" outlineLevel="0" collapsed="false">
      <c r="A636" s="16"/>
      <c r="B636" s="8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row>
    <row r="637" customFormat="false" ht="15.75" hidden="false" customHeight="false" outlineLevel="0" collapsed="false">
      <c r="A637" s="16"/>
      <c r="B637" s="8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row>
    <row r="638" customFormat="false" ht="15.75" hidden="false" customHeight="false" outlineLevel="0" collapsed="false">
      <c r="A638" s="16"/>
      <c r="B638" s="8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row>
    <row r="639" customFormat="false" ht="15.75" hidden="false" customHeight="false" outlineLevel="0" collapsed="false">
      <c r="A639" s="16"/>
      <c r="B639" s="8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row>
    <row r="640" customFormat="false" ht="15.75" hidden="false" customHeight="false" outlineLevel="0" collapsed="false">
      <c r="A640" s="16"/>
      <c r="B640" s="8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row>
    <row r="641" customFormat="false" ht="15.75" hidden="false" customHeight="false" outlineLevel="0" collapsed="false">
      <c r="A641" s="16"/>
      <c r="B641" s="8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row>
    <row r="642" customFormat="false" ht="15.75" hidden="false" customHeight="false" outlineLevel="0" collapsed="false">
      <c r="A642" s="16"/>
      <c r="B642" s="8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row>
    <row r="643" customFormat="false" ht="15.75" hidden="false" customHeight="false" outlineLevel="0" collapsed="false">
      <c r="A643" s="16"/>
      <c r="B643" s="8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row>
    <row r="644" customFormat="false" ht="15.75" hidden="false" customHeight="false" outlineLevel="0" collapsed="false">
      <c r="A644" s="16"/>
      <c r="B644" s="8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row>
    <row r="645" customFormat="false" ht="15.75" hidden="false" customHeight="false" outlineLevel="0" collapsed="false">
      <c r="A645" s="16"/>
      <c r="B645" s="8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row>
    <row r="646" customFormat="false" ht="15.75" hidden="false" customHeight="false" outlineLevel="0" collapsed="false">
      <c r="A646" s="16"/>
      <c r="B646" s="8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row>
    <row r="647" customFormat="false" ht="15.75" hidden="false" customHeight="false" outlineLevel="0" collapsed="false">
      <c r="A647" s="16"/>
      <c r="B647" s="8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row>
    <row r="648" customFormat="false" ht="15.75" hidden="false" customHeight="false" outlineLevel="0" collapsed="false">
      <c r="A648" s="16"/>
      <c r="B648" s="8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row>
    <row r="649" customFormat="false" ht="15.75" hidden="false" customHeight="false" outlineLevel="0" collapsed="false">
      <c r="A649" s="16"/>
      <c r="B649" s="8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row>
    <row r="650" customFormat="false" ht="15.75" hidden="false" customHeight="false" outlineLevel="0" collapsed="false">
      <c r="A650" s="16"/>
      <c r="B650" s="8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row>
    <row r="651" customFormat="false" ht="15.75" hidden="false" customHeight="false" outlineLevel="0" collapsed="false">
      <c r="A651" s="16"/>
      <c r="B651" s="8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row>
    <row r="652" customFormat="false" ht="15.75" hidden="false" customHeight="false" outlineLevel="0" collapsed="false">
      <c r="A652" s="16"/>
      <c r="B652" s="8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row>
    <row r="653" customFormat="false" ht="15.75" hidden="false" customHeight="false" outlineLevel="0" collapsed="false">
      <c r="A653" s="16"/>
      <c r="B653" s="8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row>
    <row r="654" customFormat="false" ht="15.75" hidden="false" customHeight="false" outlineLevel="0" collapsed="false">
      <c r="A654" s="16"/>
      <c r="B654" s="8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row>
    <row r="655" customFormat="false" ht="15.75" hidden="false" customHeight="false" outlineLevel="0" collapsed="false">
      <c r="A655" s="16"/>
      <c r="B655" s="8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row>
    <row r="656" customFormat="false" ht="15.75" hidden="false" customHeight="false" outlineLevel="0" collapsed="false">
      <c r="A656" s="16"/>
      <c r="B656" s="8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row>
    <row r="657" customFormat="false" ht="15.75" hidden="false" customHeight="false" outlineLevel="0" collapsed="false">
      <c r="A657" s="16"/>
      <c r="B657" s="8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row>
    <row r="658" customFormat="false" ht="15.75" hidden="false" customHeight="false" outlineLevel="0" collapsed="false">
      <c r="A658" s="16"/>
      <c r="B658" s="8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row>
    <row r="659" customFormat="false" ht="15.75" hidden="false" customHeight="false" outlineLevel="0" collapsed="false">
      <c r="A659" s="16"/>
      <c r="B659" s="8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row>
    <row r="660" customFormat="false" ht="15.75" hidden="false" customHeight="false" outlineLevel="0" collapsed="false">
      <c r="A660" s="16"/>
      <c r="B660" s="8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row>
    <row r="661" customFormat="false" ht="15.75" hidden="false" customHeight="false" outlineLevel="0" collapsed="false">
      <c r="A661" s="16"/>
      <c r="B661" s="8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row>
    <row r="662" customFormat="false" ht="15.75" hidden="false" customHeight="false" outlineLevel="0" collapsed="false">
      <c r="A662" s="16"/>
      <c r="B662" s="8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row>
    <row r="663" customFormat="false" ht="15.75" hidden="false" customHeight="false" outlineLevel="0" collapsed="false">
      <c r="A663" s="16"/>
      <c r="B663" s="8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row>
    <row r="664" customFormat="false" ht="15.75" hidden="false" customHeight="false" outlineLevel="0" collapsed="false">
      <c r="A664" s="16"/>
      <c r="B664" s="8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row>
    <row r="665" customFormat="false" ht="15.75" hidden="false" customHeight="false" outlineLevel="0" collapsed="false">
      <c r="A665" s="16"/>
      <c r="B665" s="8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row>
    <row r="666" customFormat="false" ht="15.75" hidden="false" customHeight="false" outlineLevel="0" collapsed="false">
      <c r="A666" s="16"/>
      <c r="B666" s="8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row>
    <row r="667" customFormat="false" ht="15.75" hidden="false" customHeight="false" outlineLevel="0" collapsed="false">
      <c r="A667" s="16"/>
      <c r="B667" s="8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row>
    <row r="668" customFormat="false" ht="15.75" hidden="false" customHeight="false" outlineLevel="0" collapsed="false">
      <c r="A668" s="16"/>
      <c r="B668" s="8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row>
    <row r="669" customFormat="false" ht="15.75" hidden="false" customHeight="false" outlineLevel="0" collapsed="false">
      <c r="A669" s="16"/>
      <c r="B669" s="8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row>
    <row r="670" customFormat="false" ht="15.75" hidden="false" customHeight="false" outlineLevel="0" collapsed="false">
      <c r="A670" s="16"/>
      <c r="B670" s="8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row>
    <row r="671" customFormat="false" ht="15.75" hidden="false" customHeight="false" outlineLevel="0" collapsed="false">
      <c r="A671" s="16"/>
      <c r="B671" s="8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row>
    <row r="672" customFormat="false" ht="15.75" hidden="false" customHeight="false" outlineLevel="0" collapsed="false">
      <c r="A672" s="16"/>
      <c r="B672" s="8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row>
    <row r="673" customFormat="false" ht="15.75" hidden="false" customHeight="false" outlineLevel="0" collapsed="false">
      <c r="A673" s="16"/>
      <c r="B673" s="8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row>
    <row r="674" customFormat="false" ht="15.75" hidden="false" customHeight="false" outlineLevel="0" collapsed="false">
      <c r="A674" s="16"/>
      <c r="B674" s="8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row>
    <row r="675" customFormat="false" ht="15.75" hidden="false" customHeight="false" outlineLevel="0" collapsed="false">
      <c r="A675" s="16"/>
      <c r="B675" s="8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row>
    <row r="676" customFormat="false" ht="15.75" hidden="false" customHeight="false" outlineLevel="0" collapsed="false">
      <c r="A676" s="16"/>
      <c r="B676" s="8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row>
    <row r="677" customFormat="false" ht="15.75" hidden="false" customHeight="false" outlineLevel="0" collapsed="false">
      <c r="A677" s="16"/>
      <c r="B677" s="8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row>
    <row r="678" customFormat="false" ht="15.75" hidden="false" customHeight="false" outlineLevel="0" collapsed="false">
      <c r="A678" s="16"/>
      <c r="B678" s="8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row>
    <row r="679" customFormat="false" ht="15.75" hidden="false" customHeight="false" outlineLevel="0" collapsed="false">
      <c r="A679" s="16"/>
      <c r="B679" s="8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row>
    <row r="680" customFormat="false" ht="15.75" hidden="false" customHeight="false" outlineLevel="0" collapsed="false">
      <c r="A680" s="16"/>
      <c r="B680" s="8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row>
    <row r="681" customFormat="false" ht="15.75" hidden="false" customHeight="false" outlineLevel="0" collapsed="false">
      <c r="A681" s="16"/>
      <c r="B681" s="8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row>
    <row r="682" customFormat="false" ht="15.75" hidden="false" customHeight="false" outlineLevel="0" collapsed="false">
      <c r="A682" s="16"/>
      <c r="B682" s="8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row>
    <row r="683" customFormat="false" ht="15.75" hidden="false" customHeight="false" outlineLevel="0" collapsed="false">
      <c r="A683" s="16"/>
      <c r="B683" s="8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row>
    <row r="684" customFormat="false" ht="15.75" hidden="false" customHeight="false" outlineLevel="0" collapsed="false">
      <c r="A684" s="16"/>
      <c r="B684" s="8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row>
    <row r="685" customFormat="false" ht="15.75" hidden="false" customHeight="false" outlineLevel="0" collapsed="false">
      <c r="A685" s="16"/>
      <c r="B685" s="8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row>
    <row r="686" customFormat="false" ht="15.75" hidden="false" customHeight="false" outlineLevel="0" collapsed="false">
      <c r="A686" s="16"/>
      <c r="B686" s="8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row>
    <row r="687" customFormat="false" ht="15.75" hidden="false" customHeight="false" outlineLevel="0" collapsed="false">
      <c r="A687" s="16"/>
      <c r="B687" s="8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row>
    <row r="688" customFormat="false" ht="15.75" hidden="false" customHeight="false" outlineLevel="0" collapsed="false">
      <c r="A688" s="16"/>
      <c r="B688" s="8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row>
    <row r="689" customFormat="false" ht="15.75" hidden="false" customHeight="false" outlineLevel="0" collapsed="false">
      <c r="A689" s="16"/>
      <c r="B689" s="8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row>
    <row r="690" customFormat="false" ht="15.75" hidden="false" customHeight="false" outlineLevel="0" collapsed="false">
      <c r="A690" s="16"/>
      <c r="B690" s="8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row>
    <row r="691" customFormat="false" ht="15.75" hidden="false" customHeight="false" outlineLevel="0" collapsed="false">
      <c r="A691" s="16"/>
      <c r="B691" s="8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row>
    <row r="692" customFormat="false" ht="15.75" hidden="false" customHeight="false" outlineLevel="0" collapsed="false">
      <c r="A692" s="16"/>
      <c r="B692" s="8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row>
    <row r="693" customFormat="false" ht="15.75" hidden="false" customHeight="false" outlineLevel="0" collapsed="false">
      <c r="A693" s="16"/>
      <c r="B693" s="8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row>
    <row r="694" customFormat="false" ht="15.75" hidden="false" customHeight="false" outlineLevel="0" collapsed="false">
      <c r="A694" s="16"/>
      <c r="B694" s="8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row>
    <row r="695" customFormat="false" ht="15.75" hidden="false" customHeight="false" outlineLevel="0" collapsed="false">
      <c r="A695" s="16"/>
      <c r="B695" s="8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row>
    <row r="696" customFormat="false" ht="15.75" hidden="false" customHeight="false" outlineLevel="0" collapsed="false">
      <c r="A696" s="16"/>
      <c r="B696" s="8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row>
    <row r="697" customFormat="false" ht="15.75" hidden="false" customHeight="false" outlineLevel="0" collapsed="false">
      <c r="A697" s="16"/>
      <c r="B697" s="8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row>
    <row r="698" customFormat="false" ht="15.75" hidden="false" customHeight="false" outlineLevel="0" collapsed="false">
      <c r="A698" s="16"/>
      <c r="B698" s="8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row>
    <row r="699" customFormat="false" ht="15.75" hidden="false" customHeight="false" outlineLevel="0" collapsed="false">
      <c r="A699" s="16"/>
      <c r="B699" s="8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row>
    <row r="700" customFormat="false" ht="15.75" hidden="false" customHeight="false" outlineLevel="0" collapsed="false">
      <c r="A700" s="16"/>
      <c r="B700" s="8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row>
    <row r="701" customFormat="false" ht="15.75" hidden="false" customHeight="false" outlineLevel="0" collapsed="false">
      <c r="A701" s="16"/>
      <c r="B701" s="8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row>
    <row r="702" customFormat="false" ht="15.75" hidden="false" customHeight="false" outlineLevel="0" collapsed="false">
      <c r="A702" s="16"/>
      <c r="B702" s="8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row>
    <row r="703" customFormat="false" ht="15.75" hidden="false" customHeight="false" outlineLevel="0" collapsed="false">
      <c r="A703" s="16"/>
      <c r="B703" s="8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row>
    <row r="704" customFormat="false" ht="15.75" hidden="false" customHeight="false" outlineLevel="0" collapsed="false">
      <c r="A704" s="16"/>
      <c r="B704" s="8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row>
    <row r="705" customFormat="false" ht="15.75" hidden="false" customHeight="false" outlineLevel="0" collapsed="false">
      <c r="A705" s="16"/>
      <c r="B705" s="8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row>
    <row r="706" customFormat="false" ht="15.75" hidden="false" customHeight="false" outlineLevel="0" collapsed="false">
      <c r="A706" s="16"/>
      <c r="B706" s="8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row>
    <row r="707" customFormat="false" ht="15.75" hidden="false" customHeight="false" outlineLevel="0" collapsed="false">
      <c r="A707" s="16"/>
      <c r="B707" s="8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row>
    <row r="708" customFormat="false" ht="15.75" hidden="false" customHeight="false" outlineLevel="0" collapsed="false">
      <c r="A708" s="16"/>
      <c r="B708" s="8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row>
    <row r="709" customFormat="false" ht="15.75" hidden="false" customHeight="false" outlineLevel="0" collapsed="false">
      <c r="A709" s="16"/>
      <c r="B709" s="8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row>
    <row r="710" customFormat="false" ht="15.75" hidden="false" customHeight="false" outlineLevel="0" collapsed="false">
      <c r="A710" s="16"/>
      <c r="B710" s="8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row>
    <row r="711" customFormat="false" ht="15.75" hidden="false" customHeight="false" outlineLevel="0" collapsed="false">
      <c r="A711" s="16"/>
      <c r="B711" s="8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row>
    <row r="712" customFormat="false" ht="15.75" hidden="false" customHeight="false" outlineLevel="0" collapsed="false">
      <c r="A712" s="16"/>
      <c r="B712" s="8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row>
    <row r="713" customFormat="false" ht="15.75" hidden="false" customHeight="false" outlineLevel="0" collapsed="false">
      <c r="A713" s="16"/>
      <c r="B713" s="8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row>
    <row r="714" customFormat="false" ht="15.75" hidden="false" customHeight="false" outlineLevel="0" collapsed="false">
      <c r="A714" s="16"/>
      <c r="B714" s="8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row>
    <row r="715" customFormat="false" ht="15.75" hidden="false" customHeight="false" outlineLevel="0" collapsed="false">
      <c r="A715" s="16"/>
      <c r="B715" s="8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row>
    <row r="716" customFormat="false" ht="15.75" hidden="false" customHeight="false" outlineLevel="0" collapsed="false">
      <c r="A716" s="16"/>
      <c r="B716" s="8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row>
    <row r="717" customFormat="false" ht="15.75" hidden="false" customHeight="false" outlineLevel="0" collapsed="false">
      <c r="A717" s="16"/>
      <c r="B717" s="8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row>
    <row r="718" customFormat="false" ht="15.75" hidden="false" customHeight="false" outlineLevel="0" collapsed="false">
      <c r="A718" s="16"/>
      <c r="B718" s="8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row>
    <row r="719" customFormat="false" ht="15.75" hidden="false" customHeight="false" outlineLevel="0" collapsed="false">
      <c r="A719" s="16"/>
      <c r="B719" s="8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row>
    <row r="720" customFormat="false" ht="15.75" hidden="false" customHeight="false" outlineLevel="0" collapsed="false">
      <c r="A720" s="16"/>
      <c r="B720" s="8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row>
    <row r="721" customFormat="false" ht="15.75" hidden="false" customHeight="false" outlineLevel="0" collapsed="false">
      <c r="A721" s="16"/>
      <c r="B721" s="8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row>
    <row r="722" customFormat="false" ht="15.75" hidden="false" customHeight="false" outlineLevel="0" collapsed="false">
      <c r="A722" s="16"/>
      <c r="B722" s="8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row>
    <row r="723" customFormat="false" ht="15.75" hidden="false" customHeight="false" outlineLevel="0" collapsed="false">
      <c r="A723" s="16"/>
      <c r="B723" s="8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row>
    <row r="724" customFormat="false" ht="15.75" hidden="false" customHeight="false" outlineLevel="0" collapsed="false">
      <c r="A724" s="16"/>
      <c r="B724" s="8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row>
    <row r="725" customFormat="false" ht="15.75" hidden="false" customHeight="false" outlineLevel="0" collapsed="false">
      <c r="A725" s="16"/>
      <c r="B725" s="8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row>
    <row r="726" customFormat="false" ht="15.75" hidden="false" customHeight="false" outlineLevel="0" collapsed="false">
      <c r="A726" s="16"/>
      <c r="B726" s="8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row>
    <row r="727" customFormat="false" ht="15.75" hidden="false" customHeight="false" outlineLevel="0" collapsed="false">
      <c r="A727" s="16"/>
      <c r="B727" s="8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row>
    <row r="728" customFormat="false" ht="15.75" hidden="false" customHeight="false" outlineLevel="0" collapsed="false">
      <c r="A728" s="16"/>
      <c r="B728" s="8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row>
    <row r="729" customFormat="false" ht="15.75" hidden="false" customHeight="false" outlineLevel="0" collapsed="false">
      <c r="A729" s="16"/>
      <c r="B729" s="8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row>
    <row r="730" customFormat="false" ht="15.75" hidden="false" customHeight="false" outlineLevel="0" collapsed="false">
      <c r="A730" s="16"/>
      <c r="B730" s="8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row>
    <row r="731" customFormat="false" ht="15.75" hidden="false" customHeight="false" outlineLevel="0" collapsed="false">
      <c r="A731" s="16"/>
      <c r="B731" s="8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row>
    <row r="732" customFormat="false" ht="15.75" hidden="false" customHeight="false" outlineLevel="0" collapsed="false">
      <c r="A732" s="16"/>
      <c r="B732" s="8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row>
    <row r="733" customFormat="false" ht="15.75" hidden="false" customHeight="false" outlineLevel="0" collapsed="false">
      <c r="A733" s="16"/>
      <c r="B733" s="8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row>
    <row r="734" customFormat="false" ht="15.75" hidden="false" customHeight="false" outlineLevel="0" collapsed="false">
      <c r="A734" s="16"/>
      <c r="B734" s="8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row>
    <row r="735" customFormat="false" ht="15.75" hidden="false" customHeight="false" outlineLevel="0" collapsed="false">
      <c r="A735" s="16"/>
      <c r="B735" s="8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row>
    <row r="736" customFormat="false" ht="15.75" hidden="false" customHeight="false" outlineLevel="0" collapsed="false">
      <c r="A736" s="16"/>
      <c r="B736" s="8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row>
    <row r="737" customFormat="false" ht="15.75" hidden="false" customHeight="false" outlineLevel="0" collapsed="false">
      <c r="A737" s="16"/>
      <c r="B737" s="8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row>
    <row r="738" customFormat="false" ht="15.75" hidden="false" customHeight="false" outlineLevel="0" collapsed="false">
      <c r="A738" s="16"/>
      <c r="B738" s="8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row>
    <row r="739" customFormat="false" ht="15.75" hidden="false" customHeight="false" outlineLevel="0" collapsed="false">
      <c r="A739" s="16"/>
      <c r="B739" s="8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row>
    <row r="740" customFormat="false" ht="15.75" hidden="false" customHeight="false" outlineLevel="0" collapsed="false">
      <c r="A740" s="16"/>
      <c r="B740" s="8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row>
    <row r="741" customFormat="false" ht="15.75" hidden="false" customHeight="false" outlineLevel="0" collapsed="false">
      <c r="A741" s="16"/>
      <c r="B741" s="8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row>
    <row r="742" customFormat="false" ht="15.75" hidden="false" customHeight="false" outlineLevel="0" collapsed="false">
      <c r="A742" s="16"/>
      <c r="B742" s="8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row>
    <row r="743" customFormat="false" ht="15.75" hidden="false" customHeight="false" outlineLevel="0" collapsed="false">
      <c r="A743" s="16"/>
      <c r="B743" s="8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row>
    <row r="744" customFormat="false" ht="15.75" hidden="false" customHeight="false" outlineLevel="0" collapsed="false">
      <c r="A744" s="16"/>
      <c r="B744" s="8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row>
    <row r="745" customFormat="false" ht="15.75" hidden="false" customHeight="false" outlineLevel="0" collapsed="false">
      <c r="A745" s="16"/>
      <c r="B745" s="8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row>
    <row r="746" customFormat="false" ht="15.75" hidden="false" customHeight="false" outlineLevel="0" collapsed="false">
      <c r="A746" s="16"/>
      <c r="B746" s="8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row>
    <row r="747" customFormat="false" ht="15.75" hidden="false" customHeight="false" outlineLevel="0" collapsed="false">
      <c r="A747" s="16"/>
      <c r="B747" s="8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row>
    <row r="748" customFormat="false" ht="15.75" hidden="false" customHeight="false" outlineLevel="0" collapsed="false">
      <c r="A748" s="16"/>
      <c r="B748" s="8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row>
    <row r="749" customFormat="false" ht="15.75" hidden="false" customHeight="false" outlineLevel="0" collapsed="false">
      <c r="A749" s="16"/>
      <c r="B749" s="8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row>
    <row r="750" customFormat="false" ht="15.75" hidden="false" customHeight="false" outlineLevel="0" collapsed="false">
      <c r="A750" s="16"/>
      <c r="B750" s="8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row>
    <row r="751" customFormat="false" ht="15.75" hidden="false" customHeight="false" outlineLevel="0" collapsed="false">
      <c r="A751" s="16"/>
      <c r="B751" s="8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row>
    <row r="752" customFormat="false" ht="15.75" hidden="false" customHeight="false" outlineLevel="0" collapsed="false">
      <c r="A752" s="16"/>
      <c r="B752" s="8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row>
    <row r="753" customFormat="false" ht="15.75" hidden="false" customHeight="false" outlineLevel="0" collapsed="false">
      <c r="A753" s="16"/>
      <c r="B753" s="8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row>
    <row r="754" customFormat="false" ht="15.75" hidden="false" customHeight="false" outlineLevel="0" collapsed="false">
      <c r="A754" s="16"/>
      <c r="B754" s="8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row>
    <row r="755" customFormat="false" ht="15.75" hidden="false" customHeight="false" outlineLevel="0" collapsed="false">
      <c r="A755" s="16"/>
      <c r="B755" s="8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row>
    <row r="756" customFormat="false" ht="15.75" hidden="false" customHeight="false" outlineLevel="0" collapsed="false">
      <c r="A756" s="16"/>
      <c r="B756" s="8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row>
    <row r="757" customFormat="false" ht="15.75" hidden="false" customHeight="false" outlineLevel="0" collapsed="false">
      <c r="A757" s="16"/>
      <c r="B757" s="8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row>
    <row r="758" customFormat="false" ht="15.75" hidden="false" customHeight="false" outlineLevel="0" collapsed="false">
      <c r="A758" s="16"/>
      <c r="B758" s="8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row>
    <row r="759" customFormat="false" ht="15.75" hidden="false" customHeight="false" outlineLevel="0" collapsed="false">
      <c r="A759" s="16"/>
      <c r="B759" s="8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row>
    <row r="760" customFormat="false" ht="15.75" hidden="false" customHeight="false" outlineLevel="0" collapsed="false">
      <c r="A760" s="16"/>
      <c r="B760" s="8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row>
    <row r="761" customFormat="false" ht="15.75" hidden="false" customHeight="false" outlineLevel="0" collapsed="false">
      <c r="A761" s="16"/>
      <c r="B761" s="8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row>
    <row r="762" customFormat="false" ht="15.75" hidden="false" customHeight="false" outlineLevel="0" collapsed="false">
      <c r="A762" s="16"/>
      <c r="B762" s="8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row>
    <row r="763" customFormat="false" ht="15.75" hidden="false" customHeight="false" outlineLevel="0" collapsed="false">
      <c r="A763" s="16"/>
      <c r="B763" s="8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row>
    <row r="764" customFormat="false" ht="15.75" hidden="false" customHeight="false" outlineLevel="0" collapsed="false">
      <c r="A764" s="16"/>
      <c r="B764" s="8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row>
    <row r="765" customFormat="false" ht="15.75" hidden="false" customHeight="false" outlineLevel="0" collapsed="false">
      <c r="A765" s="16"/>
      <c r="B765" s="8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row>
    <row r="766" customFormat="false" ht="15.75" hidden="false" customHeight="false" outlineLevel="0" collapsed="false">
      <c r="A766" s="16"/>
      <c r="B766" s="8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row>
    <row r="767" customFormat="false" ht="15.75" hidden="false" customHeight="false" outlineLevel="0" collapsed="false">
      <c r="A767" s="16"/>
      <c r="B767" s="8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row>
    <row r="768" customFormat="false" ht="15.75" hidden="false" customHeight="false" outlineLevel="0" collapsed="false">
      <c r="A768" s="16"/>
      <c r="B768" s="8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row>
    <row r="769" customFormat="false" ht="15.75" hidden="false" customHeight="false" outlineLevel="0" collapsed="false">
      <c r="A769" s="16"/>
      <c r="B769" s="8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row>
    <row r="770" customFormat="false" ht="15.75" hidden="false" customHeight="false" outlineLevel="0" collapsed="false">
      <c r="A770" s="16"/>
      <c r="B770" s="8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row>
    <row r="771" customFormat="false" ht="15.75" hidden="false" customHeight="false" outlineLevel="0" collapsed="false">
      <c r="A771" s="16"/>
      <c r="B771" s="8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row>
    <row r="772" customFormat="false" ht="15.75" hidden="false" customHeight="false" outlineLevel="0" collapsed="false">
      <c r="A772" s="16"/>
      <c r="B772" s="8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row>
    <row r="773" customFormat="false" ht="15.75" hidden="false" customHeight="false" outlineLevel="0" collapsed="false">
      <c r="A773" s="16"/>
      <c r="B773" s="8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row>
    <row r="774" customFormat="false" ht="15.75" hidden="false" customHeight="false" outlineLevel="0" collapsed="false">
      <c r="A774" s="16"/>
      <c r="B774" s="8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row>
    <row r="775" customFormat="false" ht="15.75" hidden="false" customHeight="false" outlineLevel="0" collapsed="false">
      <c r="A775" s="16"/>
      <c r="B775" s="8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row>
    <row r="776" customFormat="false" ht="15.75" hidden="false" customHeight="false" outlineLevel="0" collapsed="false">
      <c r="A776" s="16"/>
      <c r="B776" s="8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row>
    <row r="777" customFormat="false" ht="15.75" hidden="false" customHeight="false" outlineLevel="0" collapsed="false">
      <c r="A777" s="16"/>
      <c r="B777" s="8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row>
    <row r="778" customFormat="false" ht="15.75" hidden="false" customHeight="false" outlineLevel="0" collapsed="false">
      <c r="A778" s="16"/>
      <c r="B778" s="8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row>
    <row r="779" customFormat="false" ht="15.75" hidden="false" customHeight="false" outlineLevel="0" collapsed="false">
      <c r="A779" s="16"/>
      <c r="B779" s="8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row>
    <row r="780" customFormat="false" ht="15.75" hidden="false" customHeight="false" outlineLevel="0" collapsed="false">
      <c r="A780" s="16"/>
      <c r="B780" s="8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row>
    <row r="781" customFormat="false" ht="15.75" hidden="false" customHeight="false" outlineLevel="0" collapsed="false">
      <c r="A781" s="16"/>
      <c r="B781" s="8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row>
    <row r="782" customFormat="false" ht="15.75" hidden="false" customHeight="false" outlineLevel="0" collapsed="false">
      <c r="A782" s="16"/>
      <c r="B782" s="8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row>
    <row r="783" customFormat="false" ht="15.75" hidden="false" customHeight="false" outlineLevel="0" collapsed="false">
      <c r="A783" s="16"/>
      <c r="B783" s="8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row>
    <row r="784" customFormat="false" ht="15.75" hidden="false" customHeight="false" outlineLevel="0" collapsed="false">
      <c r="A784" s="16"/>
      <c r="B784" s="8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row>
    <row r="785" customFormat="false" ht="15.75" hidden="false" customHeight="false" outlineLevel="0" collapsed="false">
      <c r="A785" s="16"/>
      <c r="B785" s="8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row>
    <row r="786" customFormat="false" ht="15.75" hidden="false" customHeight="false" outlineLevel="0" collapsed="false">
      <c r="A786" s="16"/>
      <c r="B786" s="8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row>
    <row r="787" customFormat="false" ht="15.75" hidden="false" customHeight="false" outlineLevel="0" collapsed="false">
      <c r="A787" s="16"/>
      <c r="B787" s="8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row>
    <row r="788" customFormat="false" ht="15.75" hidden="false" customHeight="false" outlineLevel="0" collapsed="false">
      <c r="A788" s="16"/>
      <c r="B788" s="8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row>
    <row r="789" customFormat="false" ht="15.75" hidden="false" customHeight="false" outlineLevel="0" collapsed="false">
      <c r="A789" s="16"/>
      <c r="B789" s="8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row>
    <row r="790" customFormat="false" ht="15.75" hidden="false" customHeight="false" outlineLevel="0" collapsed="false">
      <c r="A790" s="16"/>
      <c r="B790" s="8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row>
    <row r="791" customFormat="false" ht="15.75" hidden="false" customHeight="false" outlineLevel="0" collapsed="false">
      <c r="A791" s="16"/>
      <c r="B791" s="8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row>
    <row r="792" customFormat="false" ht="15.75" hidden="false" customHeight="false" outlineLevel="0" collapsed="false">
      <c r="A792" s="16"/>
      <c r="B792" s="8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row>
    <row r="793" customFormat="false" ht="15.75" hidden="false" customHeight="false" outlineLevel="0" collapsed="false">
      <c r="A793" s="16"/>
      <c r="B793" s="8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row>
    <row r="794" customFormat="false" ht="15.75" hidden="false" customHeight="false" outlineLevel="0" collapsed="false">
      <c r="A794" s="16"/>
      <c r="B794" s="8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row>
    <row r="795" customFormat="false" ht="15.75" hidden="false" customHeight="false" outlineLevel="0" collapsed="false">
      <c r="A795" s="16"/>
      <c r="B795" s="8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row>
    <row r="796" customFormat="false" ht="15.75" hidden="false" customHeight="false" outlineLevel="0" collapsed="false">
      <c r="A796" s="16"/>
      <c r="B796" s="8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row>
    <row r="797" customFormat="false" ht="15.75" hidden="false" customHeight="false" outlineLevel="0" collapsed="false">
      <c r="A797" s="16"/>
      <c r="B797" s="8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row>
    <row r="798" customFormat="false" ht="15.75" hidden="false" customHeight="false" outlineLevel="0" collapsed="false">
      <c r="A798" s="16"/>
      <c r="B798" s="8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row>
    <row r="799" customFormat="false" ht="15.75" hidden="false" customHeight="false" outlineLevel="0" collapsed="false">
      <c r="A799" s="16"/>
      <c r="B799" s="8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row>
    <row r="800" customFormat="false" ht="15.75" hidden="false" customHeight="false" outlineLevel="0" collapsed="false">
      <c r="A800" s="16"/>
      <c r="B800" s="8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row>
    <row r="801" customFormat="false" ht="15.75" hidden="false" customHeight="false" outlineLevel="0" collapsed="false">
      <c r="A801" s="16"/>
      <c r="B801" s="8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row>
    <row r="802" customFormat="false" ht="15.75" hidden="false" customHeight="false" outlineLevel="0" collapsed="false">
      <c r="A802" s="16"/>
      <c r="B802" s="8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row>
    <row r="803" customFormat="false" ht="15.75" hidden="false" customHeight="false" outlineLevel="0" collapsed="false">
      <c r="A803" s="16"/>
      <c r="B803" s="8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row>
    <row r="804" customFormat="false" ht="15.75" hidden="false" customHeight="false" outlineLevel="0" collapsed="false">
      <c r="A804" s="16"/>
      <c r="B804" s="8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row>
    <row r="805" customFormat="false" ht="15.75" hidden="false" customHeight="false" outlineLevel="0" collapsed="false">
      <c r="A805" s="16"/>
      <c r="B805" s="8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row>
    <row r="806" customFormat="false" ht="15.75" hidden="false" customHeight="false" outlineLevel="0" collapsed="false">
      <c r="A806" s="16"/>
      <c r="B806" s="8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row>
    <row r="807" customFormat="false" ht="15.75" hidden="false" customHeight="false" outlineLevel="0" collapsed="false">
      <c r="A807" s="16"/>
      <c r="B807" s="8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row>
    <row r="808" customFormat="false" ht="15.75" hidden="false" customHeight="false" outlineLevel="0" collapsed="false">
      <c r="A808" s="16"/>
      <c r="B808" s="8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row>
    <row r="809" customFormat="false" ht="15.75" hidden="false" customHeight="false" outlineLevel="0" collapsed="false">
      <c r="A809" s="16"/>
      <c r="B809" s="8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row>
    <row r="810" customFormat="false" ht="15.75" hidden="false" customHeight="false" outlineLevel="0" collapsed="false">
      <c r="A810" s="16"/>
      <c r="B810" s="8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row>
    <row r="811" customFormat="false" ht="15.75" hidden="false" customHeight="false" outlineLevel="0" collapsed="false">
      <c r="A811" s="16"/>
      <c r="B811" s="8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row>
    <row r="812" customFormat="false" ht="15.75" hidden="false" customHeight="false" outlineLevel="0" collapsed="false">
      <c r="A812" s="16"/>
      <c r="B812" s="8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row>
    <row r="813" customFormat="false" ht="15.75" hidden="false" customHeight="false" outlineLevel="0" collapsed="false">
      <c r="A813" s="16"/>
      <c r="B813" s="8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row>
    <row r="814" customFormat="false" ht="15.75" hidden="false" customHeight="false" outlineLevel="0" collapsed="false">
      <c r="A814" s="16"/>
      <c r="B814" s="8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row>
    <row r="815" customFormat="false" ht="15.75" hidden="false" customHeight="false" outlineLevel="0" collapsed="false">
      <c r="A815" s="16"/>
      <c r="B815" s="8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row>
    <row r="816" customFormat="false" ht="15.75" hidden="false" customHeight="false" outlineLevel="0" collapsed="false">
      <c r="A816" s="16"/>
      <c r="B816" s="8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row>
    <row r="817" customFormat="false" ht="15.75" hidden="false" customHeight="false" outlineLevel="0" collapsed="false">
      <c r="A817" s="16"/>
      <c r="B817" s="8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row>
    <row r="818" customFormat="false" ht="15.75" hidden="false" customHeight="false" outlineLevel="0" collapsed="false">
      <c r="A818" s="16"/>
      <c r="B818" s="8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row>
    <row r="819" customFormat="false" ht="15.75" hidden="false" customHeight="false" outlineLevel="0" collapsed="false">
      <c r="A819" s="16"/>
      <c r="B819" s="8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row>
    <row r="820" customFormat="false" ht="15.75" hidden="false" customHeight="false" outlineLevel="0" collapsed="false">
      <c r="A820" s="16"/>
      <c r="B820" s="8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row>
    <row r="821" customFormat="false" ht="15.75" hidden="false" customHeight="false" outlineLevel="0" collapsed="false">
      <c r="A821" s="16"/>
      <c r="B821" s="8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row>
    <row r="822" customFormat="false" ht="15.75" hidden="false" customHeight="false" outlineLevel="0" collapsed="false">
      <c r="A822" s="16"/>
      <c r="B822" s="8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row>
    <row r="823" customFormat="false" ht="15.75" hidden="false" customHeight="false" outlineLevel="0" collapsed="false">
      <c r="A823" s="16"/>
      <c r="B823" s="8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row>
    <row r="824" customFormat="false" ht="15.75" hidden="false" customHeight="false" outlineLevel="0" collapsed="false">
      <c r="A824" s="16"/>
      <c r="B824" s="8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row>
    <row r="825" customFormat="false" ht="15.75" hidden="false" customHeight="false" outlineLevel="0" collapsed="false">
      <c r="A825" s="16"/>
      <c r="B825" s="8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row>
    <row r="826" customFormat="false" ht="15.75" hidden="false" customHeight="false" outlineLevel="0" collapsed="false">
      <c r="A826" s="16"/>
      <c r="B826" s="8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row>
    <row r="827" customFormat="false" ht="15.75" hidden="false" customHeight="false" outlineLevel="0" collapsed="false">
      <c r="A827" s="16"/>
      <c r="B827" s="8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row>
    <row r="828" customFormat="false" ht="15.75" hidden="false" customHeight="false" outlineLevel="0" collapsed="false">
      <c r="A828" s="16"/>
      <c r="B828" s="8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row>
    <row r="829" customFormat="false" ht="15.75" hidden="false" customHeight="false" outlineLevel="0" collapsed="false">
      <c r="A829" s="16"/>
      <c r="B829" s="8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row>
    <row r="830" customFormat="false" ht="15.75" hidden="false" customHeight="false" outlineLevel="0" collapsed="false">
      <c r="A830" s="16"/>
      <c r="B830" s="8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row>
    <row r="831" customFormat="false" ht="15.75" hidden="false" customHeight="false" outlineLevel="0" collapsed="false">
      <c r="A831" s="16"/>
      <c r="B831" s="8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row>
    <row r="832" customFormat="false" ht="15.75" hidden="false" customHeight="false" outlineLevel="0" collapsed="false">
      <c r="A832" s="16"/>
      <c r="B832" s="8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row>
    <row r="833" customFormat="false" ht="15.75" hidden="false" customHeight="false" outlineLevel="0" collapsed="false">
      <c r="A833" s="16"/>
      <c r="B833" s="8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row>
    <row r="834" customFormat="false" ht="15.75" hidden="false" customHeight="false" outlineLevel="0" collapsed="false">
      <c r="A834" s="16"/>
      <c r="B834" s="8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row>
    <row r="835" customFormat="false" ht="15.75" hidden="false" customHeight="false" outlineLevel="0" collapsed="false">
      <c r="A835" s="16"/>
      <c r="B835" s="8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row>
    <row r="836" customFormat="false" ht="15.75" hidden="false" customHeight="false" outlineLevel="0" collapsed="false">
      <c r="A836" s="16"/>
      <c r="B836" s="8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row>
    <row r="837" customFormat="false" ht="15.75" hidden="false" customHeight="false" outlineLevel="0" collapsed="false">
      <c r="A837" s="16"/>
      <c r="B837" s="8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row>
    <row r="838" customFormat="false" ht="15.75" hidden="false" customHeight="false" outlineLevel="0" collapsed="false">
      <c r="A838" s="16"/>
      <c r="B838" s="8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row>
    <row r="839" customFormat="false" ht="15.75" hidden="false" customHeight="false" outlineLevel="0" collapsed="false">
      <c r="A839" s="16"/>
      <c r="B839" s="8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row>
    <row r="840" customFormat="false" ht="15.75" hidden="false" customHeight="false" outlineLevel="0" collapsed="false">
      <c r="A840" s="16"/>
      <c r="B840" s="8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row>
    <row r="841" customFormat="false" ht="15.75" hidden="false" customHeight="false" outlineLevel="0" collapsed="false">
      <c r="A841" s="16"/>
      <c r="B841" s="8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row>
    <row r="842" customFormat="false" ht="15.75" hidden="false" customHeight="false" outlineLevel="0" collapsed="false">
      <c r="A842" s="16"/>
      <c r="B842" s="8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row>
    <row r="843" customFormat="false" ht="15.75" hidden="false" customHeight="false" outlineLevel="0" collapsed="false">
      <c r="A843" s="16"/>
      <c r="B843" s="8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row>
    <row r="844" customFormat="false" ht="15.75" hidden="false" customHeight="false" outlineLevel="0" collapsed="false">
      <c r="A844" s="16"/>
      <c r="B844" s="8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row>
    <row r="845" customFormat="false" ht="15.75" hidden="false" customHeight="false" outlineLevel="0" collapsed="false">
      <c r="A845" s="16"/>
      <c r="B845" s="8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row>
    <row r="846" customFormat="false" ht="15.75" hidden="false" customHeight="false" outlineLevel="0" collapsed="false">
      <c r="A846" s="16"/>
      <c r="B846" s="8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row>
    <row r="847" customFormat="false" ht="15.75" hidden="false" customHeight="false" outlineLevel="0" collapsed="false">
      <c r="A847" s="16"/>
      <c r="B847" s="8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row>
    <row r="848" customFormat="false" ht="15.75" hidden="false" customHeight="false" outlineLevel="0" collapsed="false">
      <c r="A848" s="16"/>
      <c r="B848" s="8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row>
    <row r="849" customFormat="false" ht="15.75" hidden="false" customHeight="false" outlineLevel="0" collapsed="false">
      <c r="A849" s="16"/>
      <c r="B849" s="8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row>
    <row r="850" customFormat="false" ht="15.75" hidden="false" customHeight="false" outlineLevel="0" collapsed="false">
      <c r="A850" s="16"/>
      <c r="B850" s="8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row>
    <row r="851" customFormat="false" ht="15.75" hidden="false" customHeight="false" outlineLevel="0" collapsed="false">
      <c r="A851" s="16"/>
      <c r="B851" s="8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row>
    <row r="852" customFormat="false" ht="15.75" hidden="false" customHeight="false" outlineLevel="0" collapsed="false">
      <c r="A852" s="16"/>
      <c r="B852" s="8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row>
    <row r="853" customFormat="false" ht="15.75" hidden="false" customHeight="false" outlineLevel="0" collapsed="false">
      <c r="A853" s="16"/>
      <c r="B853" s="8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row>
    <row r="854" customFormat="false" ht="15.75" hidden="false" customHeight="false" outlineLevel="0" collapsed="false">
      <c r="A854" s="16"/>
      <c r="B854" s="8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row>
    <row r="855" customFormat="false" ht="15.75" hidden="false" customHeight="false" outlineLevel="0" collapsed="false">
      <c r="A855" s="16"/>
      <c r="B855" s="8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row>
    <row r="856" customFormat="false" ht="15.75" hidden="false" customHeight="false" outlineLevel="0" collapsed="false">
      <c r="A856" s="16"/>
      <c r="B856" s="8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row>
    <row r="857" customFormat="false" ht="15.75" hidden="false" customHeight="false" outlineLevel="0" collapsed="false">
      <c r="A857" s="16"/>
      <c r="B857" s="8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row>
    <row r="858" customFormat="false" ht="15.75" hidden="false" customHeight="false" outlineLevel="0" collapsed="false">
      <c r="A858" s="16"/>
      <c r="B858" s="8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row>
    <row r="859" customFormat="false" ht="15.75" hidden="false" customHeight="false" outlineLevel="0" collapsed="false">
      <c r="A859" s="16"/>
      <c r="B859" s="8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row>
    <row r="860" customFormat="false" ht="15.75" hidden="false" customHeight="false" outlineLevel="0" collapsed="false">
      <c r="A860" s="16"/>
      <c r="B860" s="8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row>
    <row r="861" customFormat="false" ht="15.75" hidden="false" customHeight="false" outlineLevel="0" collapsed="false">
      <c r="A861" s="16"/>
      <c r="B861" s="8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row>
    <row r="862" customFormat="false" ht="15.75" hidden="false" customHeight="false" outlineLevel="0" collapsed="false">
      <c r="A862" s="16"/>
      <c r="B862" s="8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row>
    <row r="863" customFormat="false" ht="15.75" hidden="false" customHeight="false" outlineLevel="0" collapsed="false">
      <c r="A863" s="16"/>
      <c r="B863" s="8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row>
    <row r="864" customFormat="false" ht="15.75" hidden="false" customHeight="false" outlineLevel="0" collapsed="false">
      <c r="A864" s="16"/>
      <c r="B864" s="8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row>
    <row r="865" customFormat="false" ht="15.75" hidden="false" customHeight="false" outlineLevel="0" collapsed="false">
      <c r="A865" s="16"/>
      <c r="B865" s="8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row>
    <row r="866" customFormat="false" ht="15.75" hidden="false" customHeight="false" outlineLevel="0" collapsed="false">
      <c r="A866" s="16"/>
      <c r="B866" s="8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row>
    <row r="867" customFormat="false" ht="15.75" hidden="false" customHeight="false" outlineLevel="0" collapsed="false">
      <c r="A867" s="16"/>
      <c r="B867" s="8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row>
    <row r="868" customFormat="false" ht="15.75" hidden="false" customHeight="false" outlineLevel="0" collapsed="false">
      <c r="A868" s="16"/>
      <c r="B868" s="8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row>
    <row r="869" customFormat="false" ht="15.75" hidden="false" customHeight="false" outlineLevel="0" collapsed="false">
      <c r="A869" s="16"/>
      <c r="B869" s="8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row>
    <row r="870" customFormat="false" ht="15.75" hidden="false" customHeight="false" outlineLevel="0" collapsed="false">
      <c r="A870" s="16"/>
      <c r="B870" s="8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row>
    <row r="871" customFormat="false" ht="15.75" hidden="false" customHeight="false" outlineLevel="0" collapsed="false">
      <c r="A871" s="16"/>
      <c r="B871" s="8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row>
    <row r="872" customFormat="false" ht="15.75" hidden="false" customHeight="false" outlineLevel="0" collapsed="false">
      <c r="A872" s="16"/>
      <c r="B872" s="8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row>
    <row r="873" customFormat="false" ht="15.75" hidden="false" customHeight="false" outlineLevel="0" collapsed="false">
      <c r="A873" s="16"/>
      <c r="B873" s="8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row>
    <row r="874" customFormat="false" ht="15.75" hidden="false" customHeight="false" outlineLevel="0" collapsed="false">
      <c r="A874" s="16"/>
      <c r="B874" s="8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row>
    <row r="875" customFormat="false" ht="15.75" hidden="false" customHeight="false" outlineLevel="0" collapsed="false">
      <c r="A875" s="16"/>
      <c r="B875" s="8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row>
    <row r="876" customFormat="false" ht="15.75" hidden="false" customHeight="false" outlineLevel="0" collapsed="false">
      <c r="A876" s="16"/>
      <c r="B876" s="8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row>
    <row r="877" customFormat="false" ht="15.75" hidden="false" customHeight="false" outlineLevel="0" collapsed="false">
      <c r="A877" s="16"/>
      <c r="B877" s="8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row>
    <row r="878" customFormat="false" ht="15.75" hidden="false" customHeight="false" outlineLevel="0" collapsed="false">
      <c r="A878" s="16"/>
      <c r="B878" s="8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row>
    <row r="879" customFormat="false" ht="15.75" hidden="false" customHeight="false" outlineLevel="0" collapsed="false">
      <c r="A879" s="16"/>
      <c r="B879" s="8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row>
    <row r="880" customFormat="false" ht="15.75" hidden="false" customHeight="false" outlineLevel="0" collapsed="false">
      <c r="A880" s="16"/>
      <c r="B880" s="8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row>
    <row r="881" customFormat="false" ht="15.75" hidden="false" customHeight="false" outlineLevel="0" collapsed="false">
      <c r="A881" s="16"/>
      <c r="B881" s="8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row>
    <row r="882" customFormat="false" ht="15.75" hidden="false" customHeight="false" outlineLevel="0" collapsed="false">
      <c r="A882" s="16"/>
      <c r="B882" s="8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row>
    <row r="883" customFormat="false" ht="15.75" hidden="false" customHeight="false" outlineLevel="0" collapsed="false">
      <c r="A883" s="16"/>
      <c r="B883" s="8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row>
    <row r="884" customFormat="false" ht="15.75" hidden="false" customHeight="false" outlineLevel="0" collapsed="false">
      <c r="A884" s="16"/>
      <c r="B884" s="8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row>
    <row r="885" customFormat="false" ht="15.75" hidden="false" customHeight="false" outlineLevel="0" collapsed="false">
      <c r="A885" s="16"/>
      <c r="B885" s="8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row>
    <row r="886" customFormat="false" ht="15.75" hidden="false" customHeight="false" outlineLevel="0" collapsed="false">
      <c r="A886" s="16"/>
      <c r="B886" s="8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row>
    <row r="887" customFormat="false" ht="15.75" hidden="false" customHeight="false" outlineLevel="0" collapsed="false">
      <c r="A887" s="16"/>
      <c r="B887" s="8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row>
    <row r="888" customFormat="false" ht="15.75" hidden="false" customHeight="false" outlineLevel="0" collapsed="false">
      <c r="A888" s="16"/>
      <c r="B888" s="8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row>
    <row r="889" customFormat="false" ht="15.75" hidden="false" customHeight="false" outlineLevel="0" collapsed="false">
      <c r="A889" s="16"/>
      <c r="B889" s="8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row>
    <row r="890" customFormat="false" ht="15.75" hidden="false" customHeight="false" outlineLevel="0" collapsed="false">
      <c r="A890" s="16"/>
      <c r="B890" s="8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row>
    <row r="891" customFormat="false" ht="15.75" hidden="false" customHeight="false" outlineLevel="0" collapsed="false">
      <c r="A891" s="16"/>
      <c r="B891" s="8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row>
    <row r="892" customFormat="false" ht="15.75" hidden="false" customHeight="false" outlineLevel="0" collapsed="false">
      <c r="A892" s="16"/>
      <c r="B892" s="8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row>
    <row r="893" customFormat="false" ht="15.75" hidden="false" customHeight="false" outlineLevel="0" collapsed="false">
      <c r="A893" s="16"/>
      <c r="B893" s="8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row>
    <row r="894" customFormat="false" ht="15.75" hidden="false" customHeight="false" outlineLevel="0" collapsed="false">
      <c r="A894" s="16"/>
      <c r="B894" s="8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row>
    <row r="895" customFormat="false" ht="15.75" hidden="false" customHeight="false" outlineLevel="0" collapsed="false">
      <c r="A895" s="16"/>
      <c r="B895" s="8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row>
    <row r="896" customFormat="false" ht="15.75" hidden="false" customHeight="false" outlineLevel="0" collapsed="false">
      <c r="A896" s="16"/>
      <c r="B896" s="8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row>
    <row r="897" customFormat="false" ht="15.75" hidden="false" customHeight="false" outlineLevel="0" collapsed="false">
      <c r="A897" s="16"/>
      <c r="B897" s="8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row>
    <row r="898" customFormat="false" ht="15.75" hidden="false" customHeight="false" outlineLevel="0" collapsed="false">
      <c r="A898" s="16"/>
      <c r="B898" s="8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row>
    <row r="899" customFormat="false" ht="15.75" hidden="false" customHeight="false" outlineLevel="0" collapsed="false">
      <c r="A899" s="16"/>
      <c r="B899" s="8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row>
    <row r="900" customFormat="false" ht="15.75" hidden="false" customHeight="false" outlineLevel="0" collapsed="false">
      <c r="A900" s="16"/>
      <c r="B900" s="8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row>
    <row r="901" customFormat="false" ht="15.75" hidden="false" customHeight="false" outlineLevel="0" collapsed="false">
      <c r="A901" s="16"/>
      <c r="B901" s="8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row>
    <row r="902" customFormat="false" ht="15.75" hidden="false" customHeight="false" outlineLevel="0" collapsed="false">
      <c r="A902" s="16"/>
      <c r="B902" s="8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row>
    <row r="903" customFormat="false" ht="15.75" hidden="false" customHeight="false" outlineLevel="0" collapsed="false">
      <c r="A903" s="16"/>
      <c r="B903" s="8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row>
    <row r="904" customFormat="false" ht="15.75" hidden="false" customHeight="false" outlineLevel="0" collapsed="false">
      <c r="A904" s="16"/>
      <c r="B904" s="8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row>
    <row r="905" customFormat="false" ht="15.75" hidden="false" customHeight="false" outlineLevel="0" collapsed="false">
      <c r="A905" s="16"/>
      <c r="B905" s="8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row>
    <row r="906" customFormat="false" ht="15.75" hidden="false" customHeight="false" outlineLevel="0" collapsed="false">
      <c r="A906" s="16"/>
      <c r="B906" s="8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row>
    <row r="907" customFormat="false" ht="15.75" hidden="false" customHeight="false" outlineLevel="0" collapsed="false">
      <c r="A907" s="16"/>
      <c r="B907" s="8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row>
    <row r="908" customFormat="false" ht="15.75" hidden="false" customHeight="false" outlineLevel="0" collapsed="false">
      <c r="A908" s="16"/>
      <c r="B908" s="8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row>
    <row r="909" customFormat="false" ht="15.75" hidden="false" customHeight="false" outlineLevel="0" collapsed="false">
      <c r="A909" s="16"/>
      <c r="B909" s="8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row>
    <row r="910" customFormat="false" ht="15.75" hidden="false" customHeight="false" outlineLevel="0" collapsed="false">
      <c r="A910" s="16"/>
      <c r="B910" s="8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row>
    <row r="911" customFormat="false" ht="15.75" hidden="false" customHeight="false" outlineLevel="0" collapsed="false">
      <c r="A911" s="16"/>
      <c r="B911" s="8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row>
    <row r="912" customFormat="false" ht="15.75" hidden="false" customHeight="false" outlineLevel="0" collapsed="false">
      <c r="A912" s="16"/>
      <c r="B912" s="8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row>
    <row r="913" customFormat="false" ht="15.75" hidden="false" customHeight="false" outlineLevel="0" collapsed="false">
      <c r="A913" s="16"/>
      <c r="B913" s="8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row>
    <row r="914" customFormat="false" ht="15.75" hidden="false" customHeight="false" outlineLevel="0" collapsed="false">
      <c r="A914" s="16"/>
      <c r="B914" s="8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row>
    <row r="915" customFormat="false" ht="15.75" hidden="false" customHeight="false" outlineLevel="0" collapsed="false">
      <c r="A915" s="16"/>
      <c r="B915" s="8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row>
    <row r="916" customFormat="false" ht="15.75" hidden="false" customHeight="false" outlineLevel="0" collapsed="false">
      <c r="A916" s="16"/>
      <c r="B916" s="8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row>
    <row r="917" customFormat="false" ht="15.75" hidden="false" customHeight="false" outlineLevel="0" collapsed="false">
      <c r="A917" s="16"/>
      <c r="B917" s="8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row>
    <row r="918" customFormat="false" ht="15.75" hidden="false" customHeight="false" outlineLevel="0" collapsed="false">
      <c r="A918" s="16"/>
      <c r="B918" s="8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row>
    <row r="919" customFormat="false" ht="15.75" hidden="false" customHeight="false" outlineLevel="0" collapsed="false">
      <c r="A919" s="16"/>
      <c r="B919" s="8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row>
    <row r="920" customFormat="false" ht="15.75" hidden="false" customHeight="false" outlineLevel="0" collapsed="false">
      <c r="A920" s="16"/>
      <c r="B920" s="8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row>
    <row r="921" customFormat="false" ht="15.75" hidden="false" customHeight="false" outlineLevel="0" collapsed="false">
      <c r="A921" s="16"/>
      <c r="B921" s="8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row>
    <row r="922" customFormat="false" ht="15.75" hidden="false" customHeight="false" outlineLevel="0" collapsed="false">
      <c r="A922" s="16"/>
      <c r="B922" s="8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row>
    <row r="923" customFormat="false" ht="15.75" hidden="false" customHeight="false" outlineLevel="0" collapsed="false">
      <c r="A923" s="16"/>
      <c r="B923" s="8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row>
    <row r="924" customFormat="false" ht="15.75" hidden="false" customHeight="false" outlineLevel="0" collapsed="false">
      <c r="A924" s="16"/>
      <c r="B924" s="8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row>
    <row r="925" customFormat="false" ht="15.75" hidden="false" customHeight="false" outlineLevel="0" collapsed="false">
      <c r="A925" s="16"/>
      <c r="B925" s="8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row>
    <row r="926" customFormat="false" ht="15.75" hidden="false" customHeight="false" outlineLevel="0" collapsed="false">
      <c r="A926" s="16"/>
      <c r="B926" s="8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row>
    <row r="927" customFormat="false" ht="15.75" hidden="false" customHeight="false" outlineLevel="0" collapsed="false">
      <c r="A927" s="16"/>
      <c r="B927" s="8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row>
    <row r="928" customFormat="false" ht="15.75" hidden="false" customHeight="false" outlineLevel="0" collapsed="false">
      <c r="A928" s="16"/>
      <c r="B928" s="8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row>
    <row r="929" customFormat="false" ht="15.75" hidden="false" customHeight="false" outlineLevel="0" collapsed="false">
      <c r="A929" s="16"/>
      <c r="B929" s="8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row>
    <row r="930" customFormat="false" ht="15.75" hidden="false" customHeight="false" outlineLevel="0" collapsed="false">
      <c r="A930" s="16"/>
      <c r="B930" s="8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row>
    <row r="931" customFormat="false" ht="15.75" hidden="false" customHeight="false" outlineLevel="0" collapsed="false">
      <c r="A931" s="16"/>
      <c r="B931" s="8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row>
    <row r="932" customFormat="false" ht="15.75" hidden="false" customHeight="false" outlineLevel="0" collapsed="false">
      <c r="A932" s="16"/>
      <c r="B932" s="8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row>
    <row r="933" customFormat="false" ht="15.75" hidden="false" customHeight="false" outlineLevel="0" collapsed="false">
      <c r="A933" s="16"/>
      <c r="B933" s="8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row>
    <row r="934" customFormat="false" ht="15.75" hidden="false" customHeight="false" outlineLevel="0" collapsed="false">
      <c r="A934" s="16"/>
      <c r="B934" s="8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row>
    <row r="935" customFormat="false" ht="15.75" hidden="false" customHeight="false" outlineLevel="0" collapsed="false">
      <c r="A935" s="16"/>
      <c r="B935" s="8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row>
    <row r="936" customFormat="false" ht="15.75" hidden="false" customHeight="false" outlineLevel="0" collapsed="false">
      <c r="A936" s="16"/>
      <c r="B936" s="8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row>
    <row r="937" customFormat="false" ht="15.75" hidden="false" customHeight="false" outlineLevel="0" collapsed="false">
      <c r="A937" s="16"/>
      <c r="B937" s="8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row>
    <row r="938" customFormat="false" ht="15.75" hidden="false" customHeight="false" outlineLevel="0" collapsed="false">
      <c r="A938" s="16"/>
      <c r="B938" s="8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row>
    <row r="939" customFormat="false" ht="15.75" hidden="false" customHeight="false" outlineLevel="0" collapsed="false">
      <c r="A939" s="16"/>
      <c r="B939" s="8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row>
    <row r="940" customFormat="false" ht="15.75" hidden="false" customHeight="false" outlineLevel="0" collapsed="false">
      <c r="A940" s="16"/>
      <c r="B940" s="8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row>
    <row r="941" customFormat="false" ht="15.75" hidden="false" customHeight="false" outlineLevel="0" collapsed="false">
      <c r="A941" s="16"/>
      <c r="B941" s="8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row>
    <row r="942" customFormat="false" ht="15.75" hidden="false" customHeight="false" outlineLevel="0" collapsed="false">
      <c r="A942" s="16"/>
      <c r="B942" s="8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row>
    <row r="943" customFormat="false" ht="15.75" hidden="false" customHeight="false" outlineLevel="0" collapsed="false">
      <c r="A943" s="16"/>
      <c r="B943" s="8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row>
    <row r="944" customFormat="false" ht="15.75" hidden="false" customHeight="false" outlineLevel="0" collapsed="false">
      <c r="A944" s="16"/>
      <c r="B944" s="8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row>
    <row r="945" customFormat="false" ht="15.75" hidden="false" customHeight="false" outlineLevel="0" collapsed="false">
      <c r="A945" s="16"/>
      <c r="B945" s="8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row>
    <row r="946" customFormat="false" ht="15.75" hidden="false" customHeight="false" outlineLevel="0" collapsed="false">
      <c r="A946" s="16"/>
      <c r="B946" s="8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row>
    <row r="947" customFormat="false" ht="15.75" hidden="false" customHeight="false" outlineLevel="0" collapsed="false">
      <c r="A947" s="16"/>
      <c r="B947" s="8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row>
    <row r="948" customFormat="false" ht="15.75" hidden="false" customHeight="false" outlineLevel="0" collapsed="false">
      <c r="A948" s="16"/>
      <c r="B948" s="8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row>
    <row r="949" customFormat="false" ht="15.75" hidden="false" customHeight="false" outlineLevel="0" collapsed="false">
      <c r="A949" s="16"/>
      <c r="B949" s="8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row>
    <row r="950" customFormat="false" ht="15.75" hidden="false" customHeight="false" outlineLevel="0" collapsed="false">
      <c r="A950" s="16"/>
      <c r="B950" s="8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row>
    <row r="951" customFormat="false" ht="15.75" hidden="false" customHeight="false" outlineLevel="0" collapsed="false">
      <c r="A951" s="16"/>
      <c r="B951" s="8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row>
    <row r="952" customFormat="false" ht="15.75" hidden="false" customHeight="false" outlineLevel="0" collapsed="false">
      <c r="A952" s="16"/>
      <c r="B952" s="8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row>
    <row r="953" customFormat="false" ht="15.75" hidden="false" customHeight="false" outlineLevel="0" collapsed="false">
      <c r="A953" s="16"/>
      <c r="B953" s="8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row>
    <row r="954" customFormat="false" ht="15.75" hidden="false" customHeight="false" outlineLevel="0" collapsed="false">
      <c r="A954" s="16"/>
      <c r="B954" s="8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row>
    <row r="955" customFormat="false" ht="15.75" hidden="false" customHeight="false" outlineLevel="0" collapsed="false">
      <c r="A955" s="16"/>
      <c r="B955" s="8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row>
    <row r="956" customFormat="false" ht="15.75" hidden="false" customHeight="false" outlineLevel="0" collapsed="false">
      <c r="A956" s="16"/>
      <c r="B956" s="8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row>
    <row r="957" customFormat="false" ht="15.75" hidden="false" customHeight="false" outlineLevel="0" collapsed="false">
      <c r="A957" s="16"/>
      <c r="B957" s="8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row>
    <row r="958" customFormat="false" ht="15.75" hidden="false" customHeight="false" outlineLevel="0" collapsed="false">
      <c r="A958" s="16"/>
      <c r="B958" s="8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row>
    <row r="959" customFormat="false" ht="15.75" hidden="false" customHeight="false" outlineLevel="0" collapsed="false">
      <c r="A959" s="16"/>
      <c r="B959" s="8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row>
    <row r="960" customFormat="false" ht="15.75" hidden="false" customHeight="false" outlineLevel="0" collapsed="false">
      <c r="A960" s="16"/>
      <c r="B960" s="8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row>
    <row r="961" customFormat="false" ht="15.75" hidden="false" customHeight="false" outlineLevel="0" collapsed="false">
      <c r="A961" s="16"/>
      <c r="B961" s="8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row>
    <row r="962" customFormat="false" ht="15.75" hidden="false" customHeight="false" outlineLevel="0" collapsed="false">
      <c r="A962" s="16"/>
      <c r="B962" s="8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row>
    <row r="963" customFormat="false" ht="15.75" hidden="false" customHeight="false" outlineLevel="0" collapsed="false">
      <c r="A963" s="16"/>
      <c r="B963" s="8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row>
    <row r="964" customFormat="false" ht="15.75" hidden="false" customHeight="false" outlineLevel="0" collapsed="false">
      <c r="A964" s="16"/>
      <c r="B964" s="8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row>
    <row r="965" customFormat="false" ht="15.75" hidden="false" customHeight="false" outlineLevel="0" collapsed="false">
      <c r="A965" s="16"/>
      <c r="B965" s="8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row>
    <row r="966" customFormat="false" ht="15.75" hidden="false" customHeight="false" outlineLevel="0" collapsed="false">
      <c r="A966" s="16"/>
      <c r="B966" s="8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row>
    <row r="967" customFormat="false" ht="15.75" hidden="false" customHeight="false" outlineLevel="0" collapsed="false">
      <c r="A967" s="16"/>
      <c r="B967" s="8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row>
    <row r="968" customFormat="false" ht="15.75" hidden="false" customHeight="false" outlineLevel="0" collapsed="false">
      <c r="A968" s="16"/>
      <c r="B968" s="8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row>
    <row r="969" customFormat="false" ht="15.75" hidden="false" customHeight="false" outlineLevel="0" collapsed="false">
      <c r="A969" s="16"/>
      <c r="B969" s="8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row>
    <row r="970" customFormat="false" ht="15.75" hidden="false" customHeight="false" outlineLevel="0" collapsed="false">
      <c r="A970" s="16"/>
      <c r="B970" s="8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row>
    <row r="971" customFormat="false" ht="15.75" hidden="false" customHeight="false" outlineLevel="0" collapsed="false">
      <c r="A971" s="16"/>
      <c r="B971" s="8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row>
    <row r="972" customFormat="false" ht="15.75" hidden="false" customHeight="false" outlineLevel="0" collapsed="false">
      <c r="A972" s="16"/>
      <c r="B972" s="8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row>
    <row r="973" customFormat="false" ht="15.75" hidden="false" customHeight="false" outlineLevel="0" collapsed="false">
      <c r="A973" s="16"/>
      <c r="B973" s="8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row>
    <row r="974" customFormat="false" ht="15.75" hidden="false" customHeight="false" outlineLevel="0" collapsed="false">
      <c r="A974" s="16"/>
      <c r="B974" s="8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row>
    <row r="975" customFormat="false" ht="15.75" hidden="false" customHeight="false" outlineLevel="0" collapsed="false">
      <c r="A975" s="16"/>
      <c r="B975" s="8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row>
    <row r="976" customFormat="false" ht="15.75" hidden="false" customHeight="false" outlineLevel="0" collapsed="false">
      <c r="A976" s="16"/>
      <c r="B976" s="8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row>
    <row r="977" customFormat="false" ht="15.75" hidden="false" customHeight="false" outlineLevel="0" collapsed="false">
      <c r="A977" s="16"/>
      <c r="B977" s="8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row>
    <row r="978" customFormat="false" ht="15.75" hidden="false" customHeight="false" outlineLevel="0" collapsed="false">
      <c r="A978" s="16"/>
      <c r="B978" s="8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row>
    <row r="979" customFormat="false" ht="15.75" hidden="false" customHeight="false" outlineLevel="0" collapsed="false">
      <c r="A979" s="16"/>
      <c r="B979" s="8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row>
    <row r="980" customFormat="false" ht="15.75" hidden="false" customHeight="false" outlineLevel="0" collapsed="false">
      <c r="A980" s="16"/>
      <c r="B980" s="8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row>
    <row r="981" customFormat="false" ht="15.75" hidden="false" customHeight="false" outlineLevel="0" collapsed="false">
      <c r="A981" s="16"/>
      <c r="B981" s="8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row>
    <row r="982" customFormat="false" ht="15.75" hidden="false" customHeight="false" outlineLevel="0" collapsed="false">
      <c r="A982" s="16"/>
      <c r="B982" s="8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row>
    <row r="983" customFormat="false" ht="15.75" hidden="false" customHeight="false" outlineLevel="0" collapsed="false">
      <c r="A983" s="16"/>
      <c r="B983" s="8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row>
    <row r="984" customFormat="false" ht="15.75" hidden="false" customHeight="false" outlineLevel="0" collapsed="false">
      <c r="A984" s="16"/>
      <c r="B984" s="8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row>
    <row r="985" customFormat="false" ht="15.75" hidden="false" customHeight="false" outlineLevel="0" collapsed="false">
      <c r="A985" s="16"/>
      <c r="B985" s="8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row>
    <row r="986" customFormat="false" ht="15.75" hidden="false" customHeight="false" outlineLevel="0" collapsed="false">
      <c r="A986" s="16"/>
      <c r="B986" s="8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row>
    <row r="987" customFormat="false" ht="15.75" hidden="false" customHeight="false" outlineLevel="0" collapsed="false">
      <c r="A987" s="16"/>
      <c r="B987" s="8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row>
    <row r="988" customFormat="false" ht="15.75" hidden="false" customHeight="false" outlineLevel="0" collapsed="false">
      <c r="A988" s="16"/>
      <c r="B988" s="8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row>
    <row r="989" customFormat="false" ht="15.75" hidden="false" customHeight="false" outlineLevel="0" collapsed="false">
      <c r="A989" s="16"/>
      <c r="B989" s="8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row>
    <row r="990" customFormat="false" ht="15.75" hidden="false" customHeight="false" outlineLevel="0" collapsed="false">
      <c r="A990" s="16"/>
      <c r="B990" s="8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row>
    <row r="991" customFormat="false" ht="15.75" hidden="false" customHeight="false" outlineLevel="0" collapsed="false">
      <c r="A991" s="16"/>
      <c r="B991" s="8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row>
    <row r="992" customFormat="false" ht="15.75" hidden="false" customHeight="false" outlineLevel="0" collapsed="false">
      <c r="A992" s="16"/>
      <c r="B992" s="8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row>
    <row r="993" customFormat="false" ht="15.75" hidden="false" customHeight="false" outlineLevel="0" collapsed="false">
      <c r="A993" s="16"/>
      <c r="B993" s="8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row>
    <row r="994" customFormat="false" ht="15.75" hidden="false" customHeight="false" outlineLevel="0" collapsed="false">
      <c r="A994" s="16"/>
      <c r="B994" s="8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row>
    <row r="995" customFormat="false" ht="15.75" hidden="false" customHeight="false" outlineLevel="0" collapsed="false">
      <c r="A995" s="16"/>
      <c r="B995" s="8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row>
    <row r="996" customFormat="false" ht="15.75" hidden="false" customHeight="false" outlineLevel="0" collapsed="false">
      <c r="A996" s="16"/>
      <c r="B996" s="8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row>
    <row r="997" customFormat="false" ht="15.75" hidden="false" customHeight="false" outlineLevel="0" collapsed="false">
      <c r="A997" s="16"/>
      <c r="B997" s="8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row>
    <row r="998" customFormat="false" ht="15.75" hidden="false" customHeight="false" outlineLevel="0" collapsed="false">
      <c r="A998" s="16"/>
      <c r="B998" s="8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row>
    <row r="999" customFormat="false" ht="15.75" hidden="false" customHeight="false" outlineLevel="0" collapsed="false">
      <c r="A999" s="16"/>
      <c r="B999" s="8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row>
    <row r="1000" customFormat="false" ht="15.75" hidden="false" customHeight="false" outlineLevel="0" collapsed="false">
      <c r="A1000" s="16"/>
      <c r="B1000" s="8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row>
    <row r="1001" customFormat="false" ht="15.75" hidden="false" customHeight="false" outlineLevel="0" collapsed="false">
      <c r="A1001" s="16"/>
      <c r="B1001" s="84"/>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row>
    <row r="1002" customFormat="false" ht="15.75" hidden="false" customHeight="false" outlineLevel="0" collapsed="false">
      <c r="A1002" s="16"/>
      <c r="B1002" s="84"/>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row>
    <row r="1003" customFormat="false" ht="15.75" hidden="false" customHeight="false" outlineLevel="0" collapsed="false">
      <c r="A1003" s="16"/>
      <c r="B1003" s="84"/>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row>
    <row r="1004" customFormat="false" ht="15.75" hidden="false" customHeight="false" outlineLevel="0" collapsed="false">
      <c r="A1004" s="16"/>
      <c r="B1004" s="84"/>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row>
    <row r="1005" customFormat="false" ht="15.75" hidden="false" customHeight="false" outlineLevel="0" collapsed="false">
      <c r="A1005" s="16"/>
      <c r="B1005" s="84"/>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row>
    <row r="1006" customFormat="false" ht="15.75" hidden="false" customHeight="false" outlineLevel="0" collapsed="false">
      <c r="A1006" s="16"/>
      <c r="B1006" s="84"/>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row>
    <row r="1007" customFormat="false" ht="15.75" hidden="false" customHeight="false" outlineLevel="0" collapsed="false">
      <c r="A1007" s="16"/>
      <c r="B1007" s="84"/>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row>
    <row r="1008" customFormat="false" ht="15.75" hidden="false" customHeight="false" outlineLevel="0" collapsed="false">
      <c r="A1008" s="16"/>
      <c r="B1008" s="84"/>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row>
    <row r="1009" customFormat="false" ht="15.75" hidden="false" customHeight="false" outlineLevel="0" collapsed="false">
      <c r="A1009" s="16"/>
      <c r="B1009" s="84"/>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row>
    <row r="1010" customFormat="false" ht="15.75" hidden="false" customHeight="false" outlineLevel="0" collapsed="false">
      <c r="A1010" s="16"/>
      <c r="B1010" s="84"/>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row>
    <row r="1011" customFormat="false" ht="15.75" hidden="false" customHeight="false" outlineLevel="0" collapsed="false">
      <c r="A1011" s="16"/>
      <c r="B1011" s="84"/>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row>
    <row r="1012" customFormat="false" ht="15.75" hidden="false" customHeight="false" outlineLevel="0" collapsed="false">
      <c r="A1012" s="16"/>
      <c r="B1012" s="84"/>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row>
    <row r="1013" customFormat="false" ht="15.75" hidden="false" customHeight="false" outlineLevel="0" collapsed="false">
      <c r="A1013" s="16"/>
      <c r="B1013" s="84"/>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row>
    <row r="1014" customFormat="false" ht="15.75" hidden="false" customHeight="false" outlineLevel="0" collapsed="false">
      <c r="A1014" s="16"/>
      <c r="B1014" s="84"/>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row>
    <row r="1015" customFormat="false" ht="15.75" hidden="false" customHeight="false" outlineLevel="0" collapsed="false">
      <c r="A1015" s="16"/>
      <c r="B1015" s="84"/>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row>
    <row r="1016" customFormat="false" ht="15.75" hidden="false" customHeight="false" outlineLevel="0" collapsed="false">
      <c r="A1016" s="16"/>
      <c r="B1016" s="84"/>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row>
    <row r="1017" customFormat="false" ht="15.75" hidden="false" customHeight="false" outlineLevel="0" collapsed="false">
      <c r="A1017" s="16"/>
      <c r="B1017" s="84"/>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row>
    <row r="1018" customFormat="false" ht="15.75" hidden="false" customHeight="false" outlineLevel="0" collapsed="false">
      <c r="A1018" s="16"/>
      <c r="B1018" s="84"/>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row>
    <row r="1019" customFormat="false" ht="15.75" hidden="false" customHeight="false" outlineLevel="0" collapsed="false">
      <c r="A1019" s="16"/>
      <c r="B1019" s="84"/>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row>
    <row r="1020" customFormat="false" ht="15.75" hidden="false" customHeight="false" outlineLevel="0" collapsed="false">
      <c r="A1020" s="16"/>
      <c r="B1020" s="84"/>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row>
    <row r="1021" customFormat="false" ht="15.75" hidden="false" customHeight="false" outlineLevel="0" collapsed="false">
      <c r="A1021" s="16"/>
      <c r="B1021" s="84"/>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row>
    <row r="1022" customFormat="false" ht="15.75" hidden="false" customHeight="false" outlineLevel="0" collapsed="false">
      <c r="A1022" s="16"/>
      <c r="B1022" s="84"/>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row>
    <row r="1023" customFormat="false" ht="15.75" hidden="false" customHeight="false" outlineLevel="0" collapsed="false">
      <c r="A1023" s="16"/>
      <c r="B1023" s="84"/>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row>
    <row r="1024" customFormat="false" ht="15.75" hidden="false" customHeight="false" outlineLevel="0" collapsed="false">
      <c r="A1024" s="16"/>
      <c r="B1024" s="84"/>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row>
    <row r="1025" customFormat="false" ht="15.75" hidden="false" customHeight="false" outlineLevel="0" collapsed="false">
      <c r="A1025" s="16"/>
      <c r="B1025" s="84"/>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row>
    <row r="1026" customFormat="false" ht="15.75" hidden="false" customHeight="false" outlineLevel="0" collapsed="false">
      <c r="A1026" s="16"/>
      <c r="B1026" s="84"/>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row>
    <row r="1027" customFormat="false" ht="15.75" hidden="false" customHeight="false" outlineLevel="0" collapsed="false">
      <c r="A1027" s="16"/>
      <c r="B1027" s="84"/>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row>
    <row r="1028" customFormat="false" ht="15.75" hidden="false" customHeight="false" outlineLevel="0" collapsed="false">
      <c r="A1028" s="16"/>
      <c r="B1028" s="84"/>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row>
    <row r="1029" customFormat="false" ht="15.75" hidden="false" customHeight="false" outlineLevel="0" collapsed="false">
      <c r="A1029" s="16"/>
      <c r="B1029" s="84"/>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row>
    <row r="1030" customFormat="false" ht="15.75" hidden="false" customHeight="false" outlineLevel="0" collapsed="false">
      <c r="A1030" s="16"/>
      <c r="B1030" s="84"/>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row>
    <row r="1031" customFormat="false" ht="15.75" hidden="false" customHeight="false" outlineLevel="0" collapsed="false">
      <c r="A1031" s="16"/>
      <c r="B1031" s="84"/>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row>
    <row r="1032" customFormat="false" ht="15.75" hidden="false" customHeight="false" outlineLevel="0" collapsed="false">
      <c r="A1032" s="16"/>
      <c r="B1032" s="84"/>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row>
    <row r="1033" customFormat="false" ht="15.75" hidden="false" customHeight="false" outlineLevel="0" collapsed="false">
      <c r="A1033" s="16"/>
      <c r="B1033" s="84"/>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row>
    <row r="1034" customFormat="false" ht="15.75" hidden="false" customHeight="false" outlineLevel="0" collapsed="false">
      <c r="A1034" s="16"/>
      <c r="B1034" s="84"/>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row>
    <row r="1035" customFormat="false" ht="15.75" hidden="false" customHeight="false" outlineLevel="0" collapsed="false">
      <c r="A1035" s="16"/>
      <c r="B1035" s="84"/>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row>
    <row r="1036" customFormat="false" ht="15.75" hidden="false" customHeight="false" outlineLevel="0" collapsed="false">
      <c r="A1036" s="16"/>
      <c r="B1036" s="84"/>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row>
    <row r="1037" customFormat="false" ht="15.75" hidden="false" customHeight="false" outlineLevel="0" collapsed="false">
      <c r="A1037" s="16"/>
      <c r="B1037" s="84"/>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row>
    <row r="1038" customFormat="false" ht="15.75" hidden="false" customHeight="false" outlineLevel="0" collapsed="false">
      <c r="A1038" s="16"/>
      <c r="B1038" s="84"/>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row>
    <row r="1040" customFormat="false" ht="15.75" hidden="false" customHeight="false" outlineLevel="0" collapsed="false">
      <c r="A1040" s="13" t="s">
        <v>53</v>
      </c>
    </row>
  </sheetData>
  <mergeCells count="130">
    <mergeCell ref="A1:B1"/>
    <mergeCell ref="C1:G1"/>
    <mergeCell ref="H1:L1"/>
    <mergeCell ref="M1:Q1"/>
    <mergeCell ref="R1:V1"/>
    <mergeCell ref="A2:A14"/>
    <mergeCell ref="D2:G2"/>
    <mergeCell ref="I2:L2"/>
    <mergeCell ref="N2:Q2"/>
    <mergeCell ref="S2:V2"/>
    <mergeCell ref="D3:G3"/>
    <mergeCell ref="I3:L3"/>
    <mergeCell ref="N3:Q3"/>
    <mergeCell ref="S3:V3"/>
    <mergeCell ref="D4:G4"/>
    <mergeCell ref="I4:L4"/>
    <mergeCell ref="N4:Q4"/>
    <mergeCell ref="S4:V4"/>
    <mergeCell ref="B5:B14"/>
    <mergeCell ref="C5:L14"/>
    <mergeCell ref="N5:O5"/>
    <mergeCell ref="P5:Q5"/>
    <mergeCell ref="S5:T5"/>
    <mergeCell ref="U5:V5"/>
    <mergeCell ref="N6:O6"/>
    <mergeCell ref="P6:Q6"/>
    <mergeCell ref="S6:T6"/>
    <mergeCell ref="U6:V6"/>
    <mergeCell ref="N7:O7"/>
    <mergeCell ref="P7:Q7"/>
    <mergeCell ref="S7:T7"/>
    <mergeCell ref="U7:V7"/>
    <mergeCell ref="N8:O8"/>
    <mergeCell ref="P8:Q8"/>
    <mergeCell ref="S8:T8"/>
    <mergeCell ref="U8:V8"/>
    <mergeCell ref="N9:O9"/>
    <mergeCell ref="P9:Q9"/>
    <mergeCell ref="S9:T9"/>
    <mergeCell ref="U9:V9"/>
    <mergeCell ref="M10:Q14"/>
    <mergeCell ref="S10:T10"/>
    <mergeCell ref="U10:V10"/>
    <mergeCell ref="S11:T11"/>
    <mergeCell ref="U11:V11"/>
    <mergeCell ref="S12:T12"/>
    <mergeCell ref="U12:V12"/>
    <mergeCell ref="S13:T13"/>
    <mergeCell ref="U13:V13"/>
    <mergeCell ref="S14:T14"/>
    <mergeCell ref="U14:V14"/>
    <mergeCell ref="A15:L15"/>
    <mergeCell ref="N15:Q15"/>
    <mergeCell ref="S15:V15"/>
    <mergeCell ref="A16:C16"/>
    <mergeCell ref="A17:A38"/>
    <mergeCell ref="B17:B22"/>
    <mergeCell ref="C21:G22"/>
    <mergeCell ref="R22:V22"/>
    <mergeCell ref="B23:C23"/>
    <mergeCell ref="D23:E23"/>
    <mergeCell ref="I23:J23"/>
    <mergeCell ref="N23:O23"/>
    <mergeCell ref="S23:T23"/>
    <mergeCell ref="B24:C24"/>
    <mergeCell ref="B25:B27"/>
    <mergeCell ref="H27:V27"/>
    <mergeCell ref="B28:C28"/>
    <mergeCell ref="D28:E28"/>
    <mergeCell ref="I28:J28"/>
    <mergeCell ref="N28:O28"/>
    <mergeCell ref="S28:T28"/>
    <mergeCell ref="B29:C29"/>
    <mergeCell ref="B30:B38"/>
    <mergeCell ref="C35:G38"/>
    <mergeCell ref="H36:L38"/>
    <mergeCell ref="R36:V38"/>
    <mergeCell ref="B39:C39"/>
    <mergeCell ref="D39:E39"/>
    <mergeCell ref="I39:J39"/>
    <mergeCell ref="N39:O39"/>
    <mergeCell ref="S39:T39"/>
    <mergeCell ref="B40:C40"/>
    <mergeCell ref="A41:A46"/>
    <mergeCell ref="B41:B46"/>
    <mergeCell ref="C43:G46"/>
    <mergeCell ref="H44:L46"/>
    <mergeCell ref="B47:C47"/>
    <mergeCell ref="D47:E47"/>
    <mergeCell ref="I47:J47"/>
    <mergeCell ref="N47:O47"/>
    <mergeCell ref="S47:T47"/>
    <mergeCell ref="B48:C48"/>
    <mergeCell ref="A49:A70"/>
    <mergeCell ref="B49:B57"/>
    <mergeCell ref="C53:G57"/>
    <mergeCell ref="M54:V57"/>
    <mergeCell ref="B58:C58"/>
    <mergeCell ref="D58:E58"/>
    <mergeCell ref="I58:J58"/>
    <mergeCell ref="N58:O58"/>
    <mergeCell ref="S58:T58"/>
    <mergeCell ref="B59:C59"/>
    <mergeCell ref="B60:B64"/>
    <mergeCell ref="C62:G64"/>
    <mergeCell ref="H63:Q64"/>
    <mergeCell ref="R64:V64"/>
    <mergeCell ref="B65:C65"/>
    <mergeCell ref="D65:E65"/>
    <mergeCell ref="I65:J65"/>
    <mergeCell ref="N65:O65"/>
    <mergeCell ref="S65:T65"/>
    <mergeCell ref="B66:C66"/>
    <mergeCell ref="B67:B70"/>
    <mergeCell ref="C69:L70"/>
    <mergeCell ref="B71:C71"/>
    <mergeCell ref="D71:E71"/>
    <mergeCell ref="I71:J71"/>
    <mergeCell ref="N71:O71"/>
    <mergeCell ref="S71:T71"/>
    <mergeCell ref="B72:C72"/>
    <mergeCell ref="A73:A85"/>
    <mergeCell ref="B73:B85"/>
    <mergeCell ref="M81:Q82"/>
    <mergeCell ref="C83:Q85"/>
    <mergeCell ref="B86:C86"/>
    <mergeCell ref="D86:E86"/>
    <mergeCell ref="I86:J86"/>
    <mergeCell ref="N86:O86"/>
    <mergeCell ref="S86:T86"/>
  </mergeCells>
  <conditionalFormatting sqref="A15:V15 A39:V39 A47:M47 A71:V71 A86:V86 B23:V23 B28:V28 B58:V58 B65:V65 D17:G17 D26:G26 D61:G61 I17:L17 I26:L26 I35:L35 I61:L61 N17:Q17 N26:Q26 N35:Q35 N46:Q47 N61:Q61 R47 S12:V12 S17:V17 S26:V26 S35:V35 S46:V47 S61:V61">
    <cfRule type="containsText" priority="2" operator="containsText" aboveAverage="0" equalAverage="0" bottom="0" percent="0" rank="0" text="Error" dxfId="0">
      <formula>NOT(ISERROR(SEARCH("Error",A12)))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outlinePr summaryBelow="0"/>
    <pageSetUpPr fitToPage="false"/>
  </sheetPr>
  <dimension ref="A1:AQ104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6.12"/>
    <col collapsed="false" customWidth="true" hidden="false" outlineLevel="0" max="2" min="2" style="1" width="19.52"/>
    <col collapsed="false" customWidth="true" hidden="false" outlineLevel="0" max="3" min="3" style="1" width="39.13"/>
    <col collapsed="false" customWidth="true" hidden="false" outlineLevel="0" max="7" min="4" style="1" width="6.25"/>
    <col collapsed="false" customWidth="true" hidden="false" outlineLevel="0" max="8" min="8" style="1" width="46.13"/>
    <col collapsed="false" customWidth="true" hidden="false" outlineLevel="0" max="9" min="9" style="1" width="6.25"/>
    <col collapsed="false" customWidth="true" hidden="false" outlineLevel="0" max="11" min="10" style="1" width="6.38"/>
    <col collapsed="false" customWidth="true" hidden="false" outlineLevel="0" max="12" min="12" style="1" width="5.88"/>
    <col collapsed="false" customWidth="true" hidden="false" outlineLevel="0" max="13" min="13" style="1" width="45.12"/>
    <col collapsed="false" customWidth="true" hidden="false" outlineLevel="0" max="17" min="14" style="1" width="6.25"/>
    <col collapsed="false" customWidth="true" hidden="false" outlineLevel="0" max="18" min="18" style="1" width="40.5"/>
    <col collapsed="false" customWidth="true" hidden="false" outlineLevel="0" max="22" min="19" style="1" width="6.25"/>
  </cols>
  <sheetData>
    <row r="1" customFormat="false" ht="27" hidden="false" customHeight="true" outlineLevel="0" collapsed="false">
      <c r="A1" s="14"/>
      <c r="B1" s="14"/>
      <c r="C1" s="15" t="s">
        <v>54</v>
      </c>
      <c r="D1" s="15"/>
      <c r="E1" s="15"/>
      <c r="F1" s="15"/>
      <c r="G1" s="15"/>
      <c r="H1" s="15" t="s">
        <v>55</v>
      </c>
      <c r="I1" s="15"/>
      <c r="J1" s="15"/>
      <c r="K1" s="15"/>
      <c r="L1" s="15"/>
      <c r="M1" s="15" t="s">
        <v>56</v>
      </c>
      <c r="N1" s="15"/>
      <c r="O1" s="15"/>
      <c r="P1" s="15"/>
      <c r="Q1" s="15"/>
      <c r="R1" s="15" t="s">
        <v>57</v>
      </c>
      <c r="S1" s="15"/>
      <c r="T1" s="15"/>
      <c r="U1" s="15"/>
      <c r="V1" s="15"/>
      <c r="W1" s="16"/>
      <c r="X1" s="16"/>
      <c r="Y1" s="16"/>
      <c r="Z1" s="16"/>
      <c r="AA1" s="16"/>
      <c r="AB1" s="16"/>
      <c r="AC1" s="16"/>
      <c r="AD1" s="16"/>
      <c r="AE1" s="16"/>
      <c r="AF1" s="16"/>
      <c r="AG1" s="16"/>
      <c r="AH1" s="16"/>
      <c r="AI1" s="16"/>
      <c r="AJ1" s="16"/>
      <c r="AK1" s="16"/>
      <c r="AL1" s="16"/>
      <c r="AM1" s="16"/>
      <c r="AN1" s="16"/>
      <c r="AO1" s="16"/>
      <c r="AP1" s="16"/>
      <c r="AQ1" s="16"/>
    </row>
    <row r="2" customFormat="false" ht="68.65" hidden="false" customHeight="true" outlineLevel="0" collapsed="false">
      <c r="A2" s="17" t="s">
        <v>58</v>
      </c>
      <c r="B2" s="18" t="s">
        <v>59</v>
      </c>
      <c r="C2" s="19" t="s">
        <v>60</v>
      </c>
      <c r="D2" s="20" t="s">
        <v>61</v>
      </c>
      <c r="E2" s="20"/>
      <c r="F2" s="20"/>
      <c r="G2" s="20"/>
      <c r="H2" s="19" t="s">
        <v>62</v>
      </c>
      <c r="I2" s="21"/>
      <c r="J2" s="21"/>
      <c r="K2" s="21"/>
      <c r="L2" s="21"/>
      <c r="M2" s="19" t="s">
        <v>63</v>
      </c>
      <c r="N2" s="21"/>
      <c r="O2" s="21"/>
      <c r="P2" s="21"/>
      <c r="Q2" s="21"/>
      <c r="R2" s="22" t="s">
        <v>64</v>
      </c>
      <c r="S2" s="23"/>
      <c r="T2" s="23"/>
      <c r="U2" s="23"/>
      <c r="V2" s="23"/>
      <c r="W2" s="16"/>
      <c r="X2" s="16"/>
      <c r="Y2" s="16"/>
      <c r="Z2" s="16"/>
      <c r="AA2" s="16"/>
      <c r="AB2" s="16"/>
      <c r="AC2" s="16"/>
      <c r="AD2" s="16"/>
      <c r="AE2" s="16"/>
      <c r="AF2" s="16"/>
      <c r="AG2" s="16"/>
      <c r="AH2" s="16"/>
      <c r="AI2" s="16"/>
      <c r="AJ2" s="16"/>
      <c r="AK2" s="16"/>
      <c r="AL2" s="16"/>
      <c r="AM2" s="16"/>
      <c r="AN2" s="16"/>
      <c r="AO2" s="16"/>
      <c r="AP2" s="16"/>
      <c r="AQ2" s="16"/>
    </row>
    <row r="3" customFormat="false" ht="41.75" hidden="false" customHeight="true" outlineLevel="0" collapsed="false">
      <c r="A3" s="17"/>
      <c r="B3" s="18" t="s">
        <v>65</v>
      </c>
      <c r="C3" s="19" t="s">
        <v>66</v>
      </c>
      <c r="D3" s="20" t="s">
        <v>67</v>
      </c>
      <c r="E3" s="20"/>
      <c r="F3" s="20"/>
      <c r="G3" s="20"/>
      <c r="H3" s="24" t="n">
        <v>43164</v>
      </c>
      <c r="I3" s="25"/>
      <c r="J3" s="25"/>
      <c r="K3" s="25"/>
      <c r="L3" s="25"/>
      <c r="M3" s="19" t="s">
        <v>68</v>
      </c>
      <c r="N3" s="21"/>
      <c r="O3" s="21"/>
      <c r="P3" s="21"/>
      <c r="Q3" s="21"/>
      <c r="R3" s="19" t="s">
        <v>69</v>
      </c>
      <c r="S3" s="21"/>
      <c r="T3" s="21"/>
      <c r="U3" s="21"/>
      <c r="V3" s="21"/>
      <c r="W3" s="16"/>
      <c r="X3" s="16"/>
      <c r="Y3" s="16"/>
      <c r="Z3" s="16"/>
      <c r="AA3" s="16"/>
      <c r="AB3" s="16"/>
      <c r="AC3" s="16"/>
      <c r="AD3" s="16"/>
      <c r="AE3" s="16"/>
      <c r="AF3" s="16"/>
      <c r="AG3" s="16"/>
      <c r="AH3" s="16"/>
      <c r="AI3" s="16"/>
      <c r="AJ3" s="16"/>
      <c r="AK3" s="16"/>
      <c r="AL3" s="16"/>
      <c r="AM3" s="16"/>
      <c r="AN3" s="16"/>
      <c r="AO3" s="16"/>
      <c r="AP3" s="16"/>
      <c r="AQ3" s="16"/>
    </row>
    <row r="4" customFormat="false" ht="135.8" hidden="false" customHeight="true" outlineLevel="0" collapsed="false">
      <c r="A4" s="17"/>
      <c r="B4" s="18" t="s">
        <v>70</v>
      </c>
      <c r="C4" s="26" t="s">
        <v>71</v>
      </c>
      <c r="D4" s="20" t="s">
        <v>72</v>
      </c>
      <c r="E4" s="20"/>
      <c r="F4" s="20"/>
      <c r="G4" s="20"/>
      <c r="H4" s="26" t="s">
        <v>73</v>
      </c>
      <c r="I4" s="27"/>
      <c r="J4" s="27"/>
      <c r="K4" s="27"/>
      <c r="L4" s="27"/>
      <c r="M4" s="26" t="s">
        <v>74</v>
      </c>
      <c r="N4" s="27"/>
      <c r="O4" s="27"/>
      <c r="P4" s="27"/>
      <c r="Q4" s="27"/>
      <c r="R4" s="26" t="s">
        <v>75</v>
      </c>
      <c r="S4" s="27"/>
      <c r="T4" s="27"/>
      <c r="U4" s="27"/>
      <c r="V4" s="27"/>
      <c r="W4" s="16"/>
      <c r="X4" s="16"/>
      <c r="Y4" s="16"/>
      <c r="Z4" s="16"/>
      <c r="AA4" s="16"/>
      <c r="AB4" s="16"/>
      <c r="AC4" s="16"/>
      <c r="AD4" s="16"/>
      <c r="AE4" s="16"/>
      <c r="AF4" s="16"/>
      <c r="AG4" s="16"/>
      <c r="AH4" s="16"/>
      <c r="AI4" s="16"/>
      <c r="AJ4" s="16"/>
      <c r="AK4" s="16"/>
      <c r="AL4" s="16"/>
      <c r="AM4" s="16"/>
      <c r="AN4" s="16"/>
      <c r="AO4" s="16"/>
      <c r="AP4" s="16"/>
      <c r="AQ4" s="16"/>
    </row>
    <row r="5" customFormat="false" ht="15.75" hidden="false" customHeight="true" outlineLevel="0" collapsed="false">
      <c r="A5" s="17"/>
      <c r="B5" s="28" t="s">
        <v>76</v>
      </c>
      <c r="C5" s="29"/>
      <c r="D5" s="29"/>
      <c r="E5" s="29"/>
      <c r="F5" s="29"/>
      <c r="G5" s="29"/>
      <c r="H5" s="29"/>
      <c r="I5" s="29"/>
      <c r="J5" s="29"/>
      <c r="K5" s="29"/>
      <c r="L5" s="29"/>
      <c r="M5" s="30"/>
      <c r="N5" s="31" t="s">
        <v>77</v>
      </c>
      <c r="O5" s="31"/>
      <c r="P5" s="31" t="s">
        <v>78</v>
      </c>
      <c r="Q5" s="31"/>
      <c r="R5" s="30"/>
      <c r="S5" s="31" t="s">
        <v>77</v>
      </c>
      <c r="T5" s="31"/>
      <c r="U5" s="31" t="s">
        <v>78</v>
      </c>
      <c r="V5" s="31"/>
      <c r="W5" s="16"/>
      <c r="X5" s="16"/>
      <c r="Y5" s="16"/>
      <c r="Z5" s="16"/>
      <c r="AA5" s="16"/>
      <c r="AB5" s="16"/>
      <c r="AC5" s="16"/>
      <c r="AD5" s="16"/>
      <c r="AE5" s="16"/>
      <c r="AF5" s="16"/>
      <c r="AG5" s="16"/>
      <c r="AH5" s="16"/>
      <c r="AI5" s="16"/>
      <c r="AJ5" s="16"/>
      <c r="AK5" s="16"/>
      <c r="AL5" s="16"/>
      <c r="AM5" s="16"/>
      <c r="AN5" s="16"/>
      <c r="AO5" s="16"/>
      <c r="AP5" s="16"/>
      <c r="AQ5" s="16"/>
    </row>
    <row r="6" customFormat="false" ht="28.35" hidden="false" customHeight="false" outlineLevel="0" collapsed="false">
      <c r="A6" s="17"/>
      <c r="B6" s="17"/>
      <c r="C6" s="17"/>
      <c r="D6" s="29"/>
      <c r="E6" s="29"/>
      <c r="F6" s="29"/>
      <c r="G6" s="29"/>
      <c r="H6" s="29"/>
      <c r="I6" s="29"/>
      <c r="J6" s="29"/>
      <c r="K6" s="29"/>
      <c r="L6" s="29"/>
      <c r="M6" s="32" t="s">
        <v>79</v>
      </c>
      <c r="N6" s="33"/>
      <c r="O6" s="33"/>
      <c r="P6" s="33"/>
      <c r="Q6" s="33"/>
      <c r="R6" s="32" t="s">
        <v>79</v>
      </c>
      <c r="S6" s="33"/>
      <c r="T6" s="33"/>
      <c r="U6" s="33"/>
      <c r="V6" s="33"/>
      <c r="W6" s="16"/>
      <c r="X6" s="16"/>
      <c r="Y6" s="16"/>
      <c r="Z6" s="16"/>
      <c r="AA6" s="16"/>
      <c r="AB6" s="16"/>
      <c r="AC6" s="16"/>
      <c r="AD6" s="16"/>
      <c r="AE6" s="16"/>
      <c r="AF6" s="16"/>
      <c r="AG6" s="16"/>
      <c r="AH6" s="16"/>
      <c r="AI6" s="16"/>
      <c r="AJ6" s="16"/>
      <c r="AK6" s="16"/>
      <c r="AL6" s="16"/>
      <c r="AM6" s="16"/>
      <c r="AN6" s="16"/>
      <c r="AO6" s="16"/>
      <c r="AP6" s="16"/>
      <c r="AQ6" s="16"/>
    </row>
    <row r="7" customFormat="false" ht="15.75" hidden="false" customHeight="false" outlineLevel="0" collapsed="false">
      <c r="A7" s="17"/>
      <c r="B7" s="17"/>
      <c r="C7" s="17"/>
      <c r="D7" s="29"/>
      <c r="E7" s="29"/>
      <c r="F7" s="29"/>
      <c r="G7" s="29"/>
      <c r="H7" s="29"/>
      <c r="I7" s="29"/>
      <c r="J7" s="29"/>
      <c r="K7" s="29"/>
      <c r="L7" s="29"/>
      <c r="M7" s="32" t="s">
        <v>80</v>
      </c>
      <c r="N7" s="33"/>
      <c r="O7" s="33"/>
      <c r="P7" s="33"/>
      <c r="Q7" s="33"/>
      <c r="R7" s="32" t="s">
        <v>80</v>
      </c>
      <c r="S7" s="33"/>
      <c r="T7" s="33"/>
      <c r="U7" s="33"/>
      <c r="V7" s="33"/>
      <c r="W7" s="16"/>
      <c r="X7" s="16"/>
      <c r="Y7" s="16"/>
      <c r="Z7" s="16"/>
      <c r="AA7" s="16"/>
      <c r="AB7" s="16"/>
      <c r="AC7" s="16"/>
      <c r="AD7" s="16"/>
      <c r="AE7" s="16"/>
      <c r="AF7" s="16"/>
      <c r="AG7" s="16"/>
      <c r="AH7" s="16"/>
      <c r="AI7" s="16"/>
      <c r="AJ7" s="16"/>
      <c r="AK7" s="16"/>
      <c r="AL7" s="16"/>
      <c r="AM7" s="16"/>
      <c r="AN7" s="16"/>
      <c r="AO7" s="16"/>
      <c r="AP7" s="16"/>
      <c r="AQ7" s="16"/>
    </row>
    <row r="8" customFormat="false" ht="28.35" hidden="false" customHeight="false" outlineLevel="0" collapsed="false">
      <c r="A8" s="17"/>
      <c r="B8" s="17"/>
      <c r="C8" s="17"/>
      <c r="D8" s="29"/>
      <c r="E8" s="29"/>
      <c r="F8" s="29"/>
      <c r="G8" s="29"/>
      <c r="H8" s="29"/>
      <c r="I8" s="29"/>
      <c r="J8" s="29"/>
      <c r="K8" s="29"/>
      <c r="L8" s="29"/>
      <c r="M8" s="32" t="s">
        <v>81</v>
      </c>
      <c r="N8" s="33"/>
      <c r="O8" s="33"/>
      <c r="P8" s="33"/>
      <c r="Q8" s="33"/>
      <c r="R8" s="32" t="s">
        <v>81</v>
      </c>
      <c r="S8" s="33"/>
      <c r="T8" s="33"/>
      <c r="U8" s="33"/>
      <c r="V8" s="33"/>
      <c r="W8" s="16"/>
      <c r="X8" s="16"/>
      <c r="Y8" s="16"/>
      <c r="Z8" s="16"/>
      <c r="AA8" s="16"/>
      <c r="AB8" s="16"/>
      <c r="AC8" s="16"/>
      <c r="AD8" s="16"/>
      <c r="AE8" s="16"/>
      <c r="AF8" s="16"/>
      <c r="AG8" s="16"/>
      <c r="AH8" s="16"/>
      <c r="AI8" s="16"/>
      <c r="AJ8" s="16"/>
      <c r="AK8" s="16"/>
      <c r="AL8" s="16"/>
      <c r="AM8" s="16"/>
      <c r="AN8" s="16"/>
      <c r="AO8" s="16"/>
      <c r="AP8" s="16"/>
      <c r="AQ8" s="16"/>
    </row>
    <row r="9" customFormat="false" ht="41.75" hidden="false" customHeight="false" outlineLevel="0" collapsed="false">
      <c r="A9" s="17"/>
      <c r="B9" s="17"/>
      <c r="C9" s="17"/>
      <c r="D9" s="29"/>
      <c r="E9" s="29"/>
      <c r="F9" s="29"/>
      <c r="G9" s="29"/>
      <c r="H9" s="29"/>
      <c r="I9" s="29"/>
      <c r="J9" s="29"/>
      <c r="K9" s="29"/>
      <c r="L9" s="29"/>
      <c r="M9" s="32" t="s">
        <v>82</v>
      </c>
      <c r="N9" s="33"/>
      <c r="O9" s="33"/>
      <c r="P9" s="33"/>
      <c r="Q9" s="33"/>
      <c r="R9" s="32" t="s">
        <v>82</v>
      </c>
      <c r="S9" s="33"/>
      <c r="T9" s="33"/>
      <c r="U9" s="33"/>
      <c r="V9" s="33"/>
      <c r="W9" s="16"/>
      <c r="X9" s="16"/>
      <c r="Y9" s="16"/>
      <c r="Z9" s="16"/>
      <c r="AA9" s="16"/>
      <c r="AB9" s="16"/>
      <c r="AC9" s="16"/>
      <c r="AD9" s="16"/>
      <c r="AE9" s="16"/>
      <c r="AF9" s="16"/>
      <c r="AG9" s="16"/>
      <c r="AH9" s="16"/>
      <c r="AI9" s="16"/>
      <c r="AJ9" s="16"/>
      <c r="AK9" s="16"/>
      <c r="AL9" s="16"/>
      <c r="AM9" s="16"/>
      <c r="AN9" s="16"/>
      <c r="AO9" s="16"/>
      <c r="AP9" s="16"/>
      <c r="AQ9" s="16"/>
    </row>
    <row r="10" customFormat="false" ht="28.35" hidden="false" customHeight="false" outlineLevel="0" collapsed="false">
      <c r="A10" s="17"/>
      <c r="B10" s="17"/>
      <c r="C10" s="17"/>
      <c r="D10" s="29"/>
      <c r="E10" s="29"/>
      <c r="F10" s="29"/>
      <c r="G10" s="29"/>
      <c r="H10" s="29"/>
      <c r="I10" s="29"/>
      <c r="J10" s="29"/>
      <c r="K10" s="29"/>
      <c r="L10" s="29"/>
      <c r="M10" s="23"/>
      <c r="N10" s="23"/>
      <c r="O10" s="23"/>
      <c r="P10" s="23"/>
      <c r="Q10" s="23"/>
      <c r="R10" s="32" t="s">
        <v>83</v>
      </c>
      <c r="S10" s="33"/>
      <c r="T10" s="33"/>
      <c r="U10" s="33"/>
      <c r="V10" s="33"/>
      <c r="W10" s="16"/>
      <c r="X10" s="16"/>
      <c r="Y10" s="16"/>
      <c r="Z10" s="16"/>
      <c r="AA10" s="16"/>
      <c r="AB10" s="16"/>
      <c r="AC10" s="16"/>
      <c r="AD10" s="16"/>
      <c r="AE10" s="16"/>
      <c r="AF10" s="16"/>
      <c r="AG10" s="16"/>
      <c r="AH10" s="16"/>
      <c r="AI10" s="16"/>
      <c r="AJ10" s="16"/>
      <c r="AK10" s="16"/>
      <c r="AL10" s="16"/>
      <c r="AM10" s="16"/>
      <c r="AN10" s="16"/>
      <c r="AO10" s="16"/>
      <c r="AP10" s="16"/>
      <c r="AQ10" s="16"/>
    </row>
    <row r="11" customFormat="false" ht="55.2" hidden="false" customHeight="false" outlineLevel="0" collapsed="false">
      <c r="A11" s="17"/>
      <c r="B11" s="17"/>
      <c r="C11" s="17"/>
      <c r="D11" s="29"/>
      <c r="E11" s="29"/>
      <c r="F11" s="29"/>
      <c r="G11" s="29"/>
      <c r="H11" s="29"/>
      <c r="I11" s="29"/>
      <c r="J11" s="29"/>
      <c r="K11" s="29"/>
      <c r="L11" s="29"/>
      <c r="M11" s="23"/>
      <c r="N11" s="23"/>
      <c r="O11" s="23"/>
      <c r="P11" s="23"/>
      <c r="Q11" s="23"/>
      <c r="R11" s="32" t="s">
        <v>84</v>
      </c>
      <c r="S11" s="33"/>
      <c r="T11" s="33"/>
      <c r="U11" s="33"/>
      <c r="V11" s="33"/>
      <c r="W11" s="16"/>
      <c r="X11" s="16"/>
      <c r="Y11" s="16"/>
      <c r="Z11" s="16"/>
      <c r="AA11" s="16"/>
      <c r="AB11" s="16"/>
      <c r="AC11" s="16"/>
      <c r="AD11" s="16"/>
      <c r="AE11" s="16"/>
      <c r="AF11" s="16"/>
      <c r="AG11" s="16"/>
      <c r="AH11" s="16"/>
      <c r="AI11" s="16"/>
      <c r="AJ11" s="16"/>
      <c r="AK11" s="16"/>
      <c r="AL11" s="16"/>
      <c r="AM11" s="16"/>
      <c r="AN11" s="16"/>
      <c r="AO11" s="16"/>
      <c r="AP11" s="16"/>
      <c r="AQ11" s="16"/>
    </row>
    <row r="12" customFormat="false" ht="41.75" hidden="false" customHeight="false" outlineLevel="0" collapsed="false">
      <c r="A12" s="17"/>
      <c r="B12" s="17"/>
      <c r="C12" s="17"/>
      <c r="D12" s="29"/>
      <c r="E12" s="29"/>
      <c r="F12" s="29"/>
      <c r="G12" s="29"/>
      <c r="H12" s="29"/>
      <c r="I12" s="29"/>
      <c r="J12" s="29"/>
      <c r="K12" s="29"/>
      <c r="L12" s="29"/>
      <c r="M12" s="23"/>
      <c r="N12" s="23"/>
      <c r="O12" s="23"/>
      <c r="P12" s="23"/>
      <c r="Q12" s="23"/>
      <c r="R12" s="32" t="s">
        <v>85</v>
      </c>
      <c r="S12" s="33"/>
      <c r="T12" s="33"/>
      <c r="U12" s="33"/>
      <c r="V12" s="33"/>
      <c r="W12" s="16"/>
      <c r="X12" s="16"/>
      <c r="Y12" s="16"/>
      <c r="Z12" s="16"/>
      <c r="AA12" s="16"/>
      <c r="AB12" s="16"/>
      <c r="AC12" s="16"/>
      <c r="AD12" s="16"/>
      <c r="AE12" s="16"/>
      <c r="AF12" s="16"/>
      <c r="AG12" s="16"/>
      <c r="AH12" s="16"/>
      <c r="AI12" s="16"/>
      <c r="AJ12" s="16"/>
      <c r="AK12" s="16"/>
      <c r="AL12" s="16"/>
      <c r="AM12" s="16"/>
      <c r="AN12" s="16"/>
      <c r="AO12" s="16"/>
      <c r="AP12" s="16"/>
      <c r="AQ12" s="16"/>
    </row>
    <row r="13" customFormat="false" ht="41.75" hidden="false" customHeight="false" outlineLevel="0" collapsed="false">
      <c r="A13" s="17"/>
      <c r="B13" s="17"/>
      <c r="C13" s="17"/>
      <c r="D13" s="29"/>
      <c r="E13" s="29"/>
      <c r="F13" s="29"/>
      <c r="G13" s="29"/>
      <c r="H13" s="29"/>
      <c r="I13" s="29"/>
      <c r="J13" s="29"/>
      <c r="K13" s="29"/>
      <c r="L13" s="29"/>
      <c r="M13" s="23"/>
      <c r="N13" s="23"/>
      <c r="O13" s="23"/>
      <c r="P13" s="23"/>
      <c r="Q13" s="23"/>
      <c r="R13" s="32" t="s">
        <v>86</v>
      </c>
      <c r="S13" s="33"/>
      <c r="T13" s="33"/>
      <c r="U13" s="33"/>
      <c r="V13" s="33"/>
      <c r="W13" s="16"/>
      <c r="X13" s="16"/>
      <c r="Y13" s="16"/>
      <c r="Z13" s="16"/>
      <c r="AA13" s="16"/>
      <c r="AB13" s="16"/>
      <c r="AC13" s="16"/>
      <c r="AD13" s="16"/>
      <c r="AE13" s="16"/>
      <c r="AF13" s="16"/>
      <c r="AG13" s="16"/>
      <c r="AH13" s="16"/>
      <c r="AI13" s="16"/>
      <c r="AJ13" s="16"/>
      <c r="AK13" s="16"/>
      <c r="AL13" s="16"/>
      <c r="AM13" s="16"/>
      <c r="AN13" s="16"/>
      <c r="AO13" s="16"/>
      <c r="AP13" s="16"/>
      <c r="AQ13" s="16"/>
    </row>
    <row r="14" customFormat="false" ht="41.75" hidden="false" customHeight="false" outlineLevel="0" collapsed="false">
      <c r="A14" s="17"/>
      <c r="B14" s="17"/>
      <c r="C14" s="17"/>
      <c r="D14" s="29"/>
      <c r="E14" s="29"/>
      <c r="F14" s="29"/>
      <c r="G14" s="29"/>
      <c r="H14" s="29"/>
      <c r="I14" s="29"/>
      <c r="J14" s="29"/>
      <c r="K14" s="29"/>
      <c r="L14" s="29"/>
      <c r="M14" s="23"/>
      <c r="N14" s="23"/>
      <c r="O14" s="23"/>
      <c r="P14" s="23"/>
      <c r="Q14" s="23"/>
      <c r="R14" s="32" t="s">
        <v>87</v>
      </c>
      <c r="S14" s="33"/>
      <c r="T14" s="33"/>
      <c r="U14" s="33"/>
      <c r="V14" s="33"/>
      <c r="W14" s="16"/>
      <c r="X14" s="16"/>
      <c r="Y14" s="16"/>
      <c r="Z14" s="16"/>
      <c r="AA14" s="16"/>
      <c r="AB14" s="16"/>
      <c r="AC14" s="16"/>
      <c r="AD14" s="16"/>
      <c r="AE14" s="16"/>
      <c r="AF14" s="16"/>
      <c r="AG14" s="16"/>
      <c r="AH14" s="16"/>
      <c r="AI14" s="16"/>
      <c r="AJ14" s="16"/>
      <c r="AK14" s="16"/>
      <c r="AL14" s="16"/>
      <c r="AM14" s="16"/>
      <c r="AN14" s="16"/>
      <c r="AO14" s="16"/>
      <c r="AP14" s="16"/>
      <c r="AQ14" s="16"/>
    </row>
    <row r="15" customFormat="false" ht="15.75" hidden="false" customHeight="false" outlineLevel="0" collapsed="false">
      <c r="A15" s="34"/>
      <c r="B15" s="34"/>
      <c r="C15" s="34"/>
      <c r="D15" s="34"/>
      <c r="E15" s="34"/>
      <c r="F15" s="34"/>
      <c r="G15" s="34"/>
      <c r="H15" s="34"/>
      <c r="I15" s="34"/>
      <c r="J15" s="34"/>
      <c r="K15" s="34"/>
      <c r="L15" s="34"/>
      <c r="M15" s="35" t="s">
        <v>88</v>
      </c>
      <c r="N15" s="36" t="str">
        <f aca="false">IF( AND(COUNT(N6:Q6)=1,COUNT(N7:Q7)=1,COUNT(N8:Q8)=1,COUNT(N9:Q9)=1), SUM(P6:Q9)/ROWS(P6:Q9), "Error - check cell values")</f>
        <v>Error - check cell values</v>
      </c>
      <c r="O15" s="36"/>
      <c r="P15" s="36"/>
      <c r="Q15" s="36"/>
      <c r="R15" s="35" t="s">
        <v>88</v>
      </c>
      <c r="S15" s="36" t="str">
        <f aca="false">IF( AND(COUNT(S6:V6)=1,COUNT(S7:V7)=1,COUNT(S8:V8)=1,COUNT(S9:V9)=1,COUNT(S10:V10)=1,COUNT(S11:V11)=1,COUNT(S12:V12)=1,COUNT(S13:V13)=1,COUNT(S14:V14)=1), SUM(U6:V14)/ROWS(U6:V14), "Error - check cell values")</f>
        <v>Error - check cell values</v>
      </c>
      <c r="T15" s="36"/>
      <c r="U15" s="36"/>
      <c r="V15" s="36"/>
      <c r="W15" s="16"/>
      <c r="X15" s="16"/>
      <c r="Y15" s="16"/>
      <c r="Z15" s="16"/>
      <c r="AA15" s="16"/>
      <c r="AB15" s="16"/>
      <c r="AC15" s="16"/>
      <c r="AD15" s="16"/>
      <c r="AE15" s="16"/>
      <c r="AF15" s="16"/>
      <c r="AG15" s="16"/>
      <c r="AH15" s="16"/>
      <c r="AI15" s="16"/>
      <c r="AJ15" s="16"/>
      <c r="AK15" s="16"/>
      <c r="AL15" s="16"/>
      <c r="AM15" s="16"/>
      <c r="AN15" s="16"/>
      <c r="AO15" s="16"/>
      <c r="AP15" s="16"/>
      <c r="AQ15" s="16"/>
    </row>
    <row r="16" customFormat="false" ht="41.75" hidden="false" customHeight="false" outlineLevel="0" collapsed="false">
      <c r="A16" s="37"/>
      <c r="B16" s="37"/>
      <c r="C16" s="37"/>
      <c r="D16" s="38" t="s">
        <v>77</v>
      </c>
      <c r="E16" s="38" t="s">
        <v>89</v>
      </c>
      <c r="F16" s="38" t="s">
        <v>78</v>
      </c>
      <c r="G16" s="38" t="s">
        <v>90</v>
      </c>
      <c r="H16" s="39"/>
      <c r="I16" s="38" t="s">
        <v>77</v>
      </c>
      <c r="J16" s="38" t="s">
        <v>89</v>
      </c>
      <c r="K16" s="38" t="s">
        <v>78</v>
      </c>
      <c r="L16" s="38" t="s">
        <v>90</v>
      </c>
      <c r="M16" s="39"/>
      <c r="N16" s="38" t="s">
        <v>77</v>
      </c>
      <c r="O16" s="38" t="s">
        <v>89</v>
      </c>
      <c r="P16" s="38" t="s">
        <v>78</v>
      </c>
      <c r="Q16" s="38" t="s">
        <v>90</v>
      </c>
      <c r="R16" s="39"/>
      <c r="S16" s="38" t="s">
        <v>77</v>
      </c>
      <c r="T16" s="38" t="s">
        <v>89</v>
      </c>
      <c r="U16" s="38" t="s">
        <v>78</v>
      </c>
      <c r="V16" s="38" t="s">
        <v>90</v>
      </c>
      <c r="W16" s="16"/>
      <c r="X16" s="16"/>
      <c r="Y16" s="16"/>
      <c r="Z16" s="16"/>
      <c r="AA16" s="16"/>
      <c r="AB16" s="16"/>
      <c r="AC16" s="16"/>
      <c r="AD16" s="16"/>
      <c r="AE16" s="16"/>
      <c r="AF16" s="16"/>
      <c r="AG16" s="16"/>
      <c r="AH16" s="16"/>
      <c r="AI16" s="16"/>
      <c r="AJ16" s="16"/>
      <c r="AK16" s="16"/>
      <c r="AL16" s="16"/>
      <c r="AM16" s="16"/>
      <c r="AN16" s="16"/>
      <c r="AO16" s="16"/>
      <c r="AP16" s="16"/>
      <c r="AQ16" s="16"/>
    </row>
    <row r="17" customFormat="false" ht="46.25" hidden="false" customHeight="true" outlineLevel="0" collapsed="false">
      <c r="A17" s="17" t="s">
        <v>91</v>
      </c>
      <c r="B17" s="40" t="s">
        <v>92</v>
      </c>
      <c r="C17" s="41" t="s">
        <v>93</v>
      </c>
      <c r="D17" s="22"/>
      <c r="E17" s="22"/>
      <c r="F17" s="22"/>
      <c r="G17" s="22" t="n">
        <v>1</v>
      </c>
      <c r="H17" s="42" t="s">
        <v>94</v>
      </c>
      <c r="I17" s="22"/>
      <c r="J17" s="22"/>
      <c r="K17" s="43"/>
      <c r="L17" s="43" t="n">
        <v>1</v>
      </c>
      <c r="M17" s="42" t="s">
        <v>95</v>
      </c>
      <c r="N17" s="22"/>
      <c r="O17" s="22"/>
      <c r="P17" s="22"/>
      <c r="Q17" s="44" t="n">
        <v>1</v>
      </c>
      <c r="R17" s="26" t="s">
        <v>96</v>
      </c>
      <c r="S17" s="22"/>
      <c r="T17" s="22"/>
      <c r="U17" s="22"/>
      <c r="V17" s="22" t="n">
        <v>1</v>
      </c>
      <c r="W17" s="16"/>
      <c r="X17" s="16"/>
      <c r="Y17" s="16"/>
      <c r="Z17" s="16"/>
      <c r="AA17" s="16"/>
      <c r="AB17" s="16"/>
      <c r="AC17" s="16"/>
      <c r="AD17" s="16"/>
      <c r="AE17" s="16"/>
      <c r="AF17" s="16"/>
      <c r="AG17" s="16"/>
      <c r="AH17" s="16"/>
      <c r="AI17" s="16"/>
      <c r="AJ17" s="16"/>
      <c r="AK17" s="16"/>
      <c r="AL17" s="16"/>
      <c r="AM17" s="16"/>
      <c r="AN17" s="16"/>
      <c r="AO17" s="16"/>
      <c r="AP17" s="16"/>
      <c r="AQ17" s="16"/>
    </row>
    <row r="18" customFormat="false" ht="41.75" hidden="false" customHeight="false" outlineLevel="0" collapsed="false">
      <c r="A18" s="17"/>
      <c r="B18" s="17"/>
      <c r="C18" s="45" t="s">
        <v>97</v>
      </c>
      <c r="D18" s="22"/>
      <c r="E18" s="22"/>
      <c r="F18" s="22"/>
      <c r="G18" s="22" t="n">
        <v>1</v>
      </c>
      <c r="H18" s="42" t="s">
        <v>98</v>
      </c>
      <c r="I18" s="22"/>
      <c r="J18" s="22"/>
      <c r="K18" s="43"/>
      <c r="L18" s="43" t="n">
        <v>1</v>
      </c>
      <c r="M18" s="26" t="s">
        <v>99</v>
      </c>
      <c r="N18" s="22"/>
      <c r="O18" s="22"/>
      <c r="P18" s="22"/>
      <c r="Q18" s="44" t="n">
        <v>1</v>
      </c>
      <c r="R18" s="26" t="s">
        <v>100</v>
      </c>
      <c r="S18" s="22"/>
      <c r="T18" s="22"/>
      <c r="U18" s="22"/>
      <c r="V18" s="22" t="n">
        <v>1</v>
      </c>
      <c r="W18" s="16"/>
      <c r="X18" s="16"/>
      <c r="Y18" s="16"/>
      <c r="Z18" s="16"/>
      <c r="AA18" s="16"/>
      <c r="AB18" s="16"/>
      <c r="AC18" s="16"/>
      <c r="AD18" s="16"/>
      <c r="AE18" s="16"/>
      <c r="AF18" s="16"/>
      <c r="AG18" s="16"/>
      <c r="AH18" s="16"/>
      <c r="AI18" s="16"/>
      <c r="AJ18" s="16"/>
      <c r="AK18" s="16"/>
      <c r="AL18" s="16"/>
      <c r="AM18" s="16"/>
      <c r="AN18" s="16"/>
      <c r="AO18" s="16"/>
      <c r="AP18" s="16"/>
      <c r="AQ18" s="16"/>
    </row>
    <row r="19" customFormat="false" ht="68.65" hidden="false" customHeight="false" outlineLevel="0" collapsed="false">
      <c r="A19" s="17"/>
      <c r="B19" s="17"/>
      <c r="C19" s="45" t="s">
        <v>101</v>
      </c>
      <c r="D19" s="22"/>
      <c r="E19" s="22"/>
      <c r="F19" s="22"/>
      <c r="G19" s="22" t="n">
        <v>1</v>
      </c>
      <c r="H19" s="46" t="s">
        <v>102</v>
      </c>
      <c r="I19" s="22"/>
      <c r="J19" s="22"/>
      <c r="K19" s="43"/>
      <c r="L19" s="43" t="n">
        <v>1</v>
      </c>
      <c r="M19" s="42" t="s">
        <v>103</v>
      </c>
      <c r="N19" s="22"/>
      <c r="O19" s="22"/>
      <c r="P19" s="22"/>
      <c r="Q19" s="44" t="n">
        <v>1</v>
      </c>
      <c r="R19" s="26" t="s">
        <v>104</v>
      </c>
      <c r="S19" s="22"/>
      <c r="T19" s="22"/>
      <c r="U19" s="22"/>
      <c r="V19" s="22" t="n">
        <v>1</v>
      </c>
      <c r="W19" s="16"/>
      <c r="X19" s="16"/>
      <c r="Y19" s="16"/>
      <c r="Z19" s="16"/>
      <c r="AA19" s="16"/>
      <c r="AB19" s="16"/>
      <c r="AC19" s="16"/>
      <c r="AD19" s="16"/>
      <c r="AE19" s="16"/>
      <c r="AF19" s="16"/>
      <c r="AG19" s="16"/>
      <c r="AH19" s="16"/>
      <c r="AI19" s="16"/>
      <c r="AJ19" s="16"/>
      <c r="AK19" s="16"/>
      <c r="AL19" s="16"/>
      <c r="AM19" s="16"/>
      <c r="AN19" s="16"/>
      <c r="AO19" s="16"/>
      <c r="AP19" s="16"/>
      <c r="AQ19" s="16"/>
    </row>
    <row r="20" customFormat="false" ht="68.65" hidden="false" customHeight="false" outlineLevel="0" collapsed="false">
      <c r="A20" s="17"/>
      <c r="B20" s="17"/>
      <c r="C20" s="45" t="s">
        <v>105</v>
      </c>
      <c r="D20" s="22"/>
      <c r="E20" s="22"/>
      <c r="F20" s="22"/>
      <c r="G20" s="22" t="n">
        <v>1</v>
      </c>
      <c r="H20" s="26" t="s">
        <v>106</v>
      </c>
      <c r="I20" s="22"/>
      <c r="J20" s="22"/>
      <c r="K20" s="43"/>
      <c r="L20" s="43" t="n">
        <v>1</v>
      </c>
      <c r="M20" s="42" t="s">
        <v>107</v>
      </c>
      <c r="N20" s="22"/>
      <c r="O20" s="22"/>
      <c r="P20" s="22"/>
      <c r="Q20" s="44" t="n">
        <v>1</v>
      </c>
      <c r="R20" s="42" t="s">
        <v>108</v>
      </c>
      <c r="S20" s="22"/>
      <c r="T20" s="22"/>
      <c r="U20" s="22"/>
      <c r="V20" s="22" t="n">
        <v>1</v>
      </c>
      <c r="W20" s="16"/>
      <c r="X20" s="16"/>
      <c r="Y20" s="16"/>
      <c r="Z20" s="16"/>
      <c r="AA20" s="16"/>
      <c r="AB20" s="16"/>
      <c r="AC20" s="16"/>
      <c r="AD20" s="16"/>
      <c r="AE20" s="16"/>
      <c r="AF20" s="16"/>
      <c r="AG20" s="16"/>
      <c r="AH20" s="16"/>
      <c r="AI20" s="16"/>
      <c r="AJ20" s="16"/>
      <c r="AK20" s="16"/>
      <c r="AL20" s="16"/>
      <c r="AM20" s="16"/>
      <c r="AN20" s="16"/>
      <c r="AO20" s="16"/>
      <c r="AP20" s="16"/>
      <c r="AQ20" s="16"/>
    </row>
    <row r="21" customFormat="false" ht="41.75" hidden="false" customHeight="false" outlineLevel="0" collapsed="false">
      <c r="A21" s="17"/>
      <c r="B21" s="17"/>
      <c r="C21" s="47"/>
      <c r="D21" s="47"/>
      <c r="E21" s="47"/>
      <c r="F21" s="47"/>
      <c r="G21" s="47"/>
      <c r="H21" s="42" t="s">
        <v>109</v>
      </c>
      <c r="I21" s="22"/>
      <c r="J21" s="22"/>
      <c r="K21" s="43"/>
      <c r="L21" s="43" t="n">
        <v>1</v>
      </c>
      <c r="M21" s="48" t="s">
        <v>110</v>
      </c>
      <c r="N21" s="22"/>
      <c r="O21" s="22"/>
      <c r="P21" s="22"/>
      <c r="Q21" s="44" t="n">
        <v>1</v>
      </c>
      <c r="R21" s="26" t="s">
        <v>111</v>
      </c>
      <c r="S21" s="22"/>
      <c r="T21" s="22"/>
      <c r="U21" s="22"/>
      <c r="V21" s="22" t="n">
        <v>1</v>
      </c>
      <c r="W21" s="16"/>
      <c r="X21" s="16"/>
      <c r="Y21" s="16"/>
      <c r="Z21" s="16"/>
      <c r="AA21" s="16"/>
      <c r="AB21" s="16"/>
      <c r="AC21" s="16"/>
      <c r="AD21" s="16"/>
      <c r="AE21" s="16"/>
      <c r="AF21" s="16"/>
      <c r="AG21" s="16"/>
      <c r="AH21" s="16"/>
      <c r="AI21" s="16"/>
      <c r="AJ21" s="16"/>
      <c r="AK21" s="16"/>
      <c r="AL21" s="16"/>
      <c r="AM21" s="16"/>
      <c r="AN21" s="16"/>
      <c r="AO21" s="16"/>
      <c r="AP21" s="16"/>
      <c r="AQ21" s="16"/>
    </row>
    <row r="22" customFormat="false" ht="55.2" hidden="false" customHeight="false" outlineLevel="0" collapsed="false">
      <c r="A22" s="17"/>
      <c r="B22" s="17"/>
      <c r="C22" s="17"/>
      <c r="D22" s="47"/>
      <c r="E22" s="47"/>
      <c r="F22" s="47"/>
      <c r="G22" s="47"/>
      <c r="H22" s="42" t="s">
        <v>112</v>
      </c>
      <c r="I22" s="22"/>
      <c r="J22" s="22"/>
      <c r="K22" s="43"/>
      <c r="L22" s="43" t="n">
        <v>1</v>
      </c>
      <c r="M22" s="42" t="s">
        <v>113</v>
      </c>
      <c r="N22" s="22"/>
      <c r="O22" s="22"/>
      <c r="P22" s="22"/>
      <c r="Q22" s="44" t="n">
        <v>1</v>
      </c>
      <c r="R22" s="49"/>
      <c r="S22" s="49"/>
      <c r="T22" s="49"/>
      <c r="U22" s="49"/>
      <c r="V22" s="49"/>
      <c r="W22" s="16"/>
      <c r="X22" s="16"/>
      <c r="Y22" s="16"/>
      <c r="Z22" s="16"/>
      <c r="AA22" s="16"/>
      <c r="AB22" s="16"/>
      <c r="AC22" s="16"/>
      <c r="AD22" s="16"/>
      <c r="AE22" s="16"/>
      <c r="AF22" s="16"/>
      <c r="AG22" s="16"/>
      <c r="AH22" s="16"/>
      <c r="AI22" s="16"/>
      <c r="AJ22" s="16"/>
      <c r="AK22" s="16"/>
      <c r="AL22" s="16"/>
      <c r="AM22" s="16"/>
      <c r="AN22" s="16"/>
      <c r="AO22" s="16"/>
      <c r="AP22" s="16"/>
      <c r="AQ22" s="16"/>
    </row>
    <row r="23" customFormat="false" ht="15.75" hidden="false" customHeight="true" outlineLevel="0" collapsed="false">
      <c r="A23" s="17"/>
      <c r="B23" s="34" t="s">
        <v>88</v>
      </c>
      <c r="C23" s="34"/>
      <c r="D23" s="50" t="e">
        <f aca="false">IF( AND(COUNT(D17:G17)=1,COUNT(D18:G18)=1,COUNT(D19:G19)=1,COUNT(D20:G20)=1), (SUM(F17:F20) + (SUM(E17:E20)/2)) / COUNTBLANK(G17:G20), "Error - check cell values")</f>
        <v>#DIV/0!</v>
      </c>
      <c r="E23" s="50"/>
      <c r="F23" s="51" t="n">
        <f aca="false">COUNTBLANK(G17:G20)</f>
        <v>0</v>
      </c>
      <c r="G23" s="51" t="n">
        <f aca="false">ROWS(G17:G20)</f>
        <v>4</v>
      </c>
      <c r="H23" s="52" t="s">
        <v>88</v>
      </c>
      <c r="I23" s="50" t="e">
        <f aca="false">IF( AND(COUNT(I17:L17)=1,COUNT(I18:L18)=1,COUNT(I19:L19)=1,COUNT(I20:L20)=1,COUNT(I21:L21)=1,COUNT(I22:L22)=1), (SUM(K17:K22) + (SUM(J17:J22)/2)) / COUNTBLANK(L17:L22), "Error - check cell values")</f>
        <v>#DIV/0!</v>
      </c>
      <c r="J23" s="50"/>
      <c r="K23" s="51" t="n">
        <f aca="false">COUNTBLANK(L17:L22)</f>
        <v>0</v>
      </c>
      <c r="L23" s="51" t="n">
        <f aca="false">ROWS(L17:L22)</f>
        <v>6</v>
      </c>
      <c r="M23" s="52" t="s">
        <v>88</v>
      </c>
      <c r="N23" s="50" t="e">
        <f aca="false">IF( AND(COUNT(N17:Q17)=1,COUNT(N18:Q18)=1,COUNT(N19:Q19)=1,COUNT(N20:Q20)=1,COUNT(N21:Q21)=1,COUNT(N22:Q22)=1), (SUM(P17:P22) + (SUM(O17:O22)/2)) / COUNTBLANK(Q17:Q22), "Error - check cell values")</f>
        <v>#DIV/0!</v>
      </c>
      <c r="O23" s="50"/>
      <c r="P23" s="51" t="n">
        <f aca="false">COUNTBLANK(Q17:Q22)</f>
        <v>0</v>
      </c>
      <c r="Q23" s="51" t="n">
        <f aca="false">ROWS(Q17:Q22)</f>
        <v>6</v>
      </c>
      <c r="R23" s="52" t="s">
        <v>88</v>
      </c>
      <c r="S23" s="50" t="e">
        <f aca="false">IF( AND(COUNT(S17:V17)=1,COUNT(S18:V18)=1,COUNT(S19:V19)=1,COUNT(S20:V20)=1,COUNT(S21:V21)=1), (SUM(U17:U21) + (SUM(T17:T21)/2)) / COUNTBLANK(V17:V21), "Error - check cell values")</f>
        <v>#DIV/0!</v>
      </c>
      <c r="T23" s="50"/>
      <c r="U23" s="51" t="n">
        <f aca="false">COUNTBLANK(V17:V21)</f>
        <v>0</v>
      </c>
      <c r="V23" s="51" t="n">
        <f aca="false">ROWS(V17:V21)</f>
        <v>5</v>
      </c>
      <c r="W23" s="53"/>
      <c r="X23" s="53"/>
      <c r="Y23" s="53"/>
      <c r="Z23" s="53"/>
      <c r="AA23" s="53"/>
      <c r="AB23" s="53"/>
      <c r="AC23" s="53"/>
      <c r="AD23" s="53"/>
      <c r="AE23" s="53"/>
      <c r="AF23" s="53"/>
      <c r="AG23" s="53"/>
      <c r="AH23" s="53"/>
      <c r="AI23" s="53"/>
      <c r="AJ23" s="53"/>
      <c r="AK23" s="53"/>
      <c r="AL23" s="53"/>
      <c r="AM23" s="53"/>
      <c r="AN23" s="53"/>
      <c r="AO23" s="53"/>
      <c r="AP23" s="53"/>
      <c r="AQ23" s="53"/>
    </row>
    <row r="24" customFormat="false" ht="41.75" hidden="false" customHeight="false" outlineLevel="0" collapsed="false">
      <c r="A24" s="17"/>
      <c r="B24" s="37"/>
      <c r="C24" s="37"/>
      <c r="D24" s="38" t="s">
        <v>77</v>
      </c>
      <c r="E24" s="38" t="s">
        <v>89</v>
      </c>
      <c r="F24" s="38" t="s">
        <v>78</v>
      </c>
      <c r="G24" s="38" t="s">
        <v>90</v>
      </c>
      <c r="H24" s="39"/>
      <c r="I24" s="38" t="s">
        <v>77</v>
      </c>
      <c r="J24" s="38" t="s">
        <v>89</v>
      </c>
      <c r="K24" s="38" t="s">
        <v>78</v>
      </c>
      <c r="L24" s="38" t="s">
        <v>90</v>
      </c>
      <c r="M24" s="39"/>
      <c r="N24" s="38" t="s">
        <v>77</v>
      </c>
      <c r="O24" s="38" t="s">
        <v>89</v>
      </c>
      <c r="P24" s="38" t="s">
        <v>78</v>
      </c>
      <c r="Q24" s="38" t="s">
        <v>90</v>
      </c>
      <c r="R24" s="39"/>
      <c r="S24" s="38" t="s">
        <v>77</v>
      </c>
      <c r="T24" s="38" t="s">
        <v>89</v>
      </c>
      <c r="U24" s="38" t="s">
        <v>78</v>
      </c>
      <c r="V24" s="38" t="s">
        <v>90</v>
      </c>
      <c r="W24" s="16"/>
      <c r="X24" s="16"/>
      <c r="Y24" s="16"/>
      <c r="Z24" s="16"/>
      <c r="AA24" s="16"/>
      <c r="AB24" s="16"/>
      <c r="AC24" s="16"/>
      <c r="AD24" s="16"/>
      <c r="AE24" s="16"/>
      <c r="AF24" s="16"/>
      <c r="AG24" s="16"/>
      <c r="AH24" s="16"/>
      <c r="AI24" s="16"/>
      <c r="AJ24" s="16"/>
      <c r="AK24" s="16"/>
      <c r="AL24" s="16"/>
      <c r="AM24" s="16"/>
      <c r="AN24" s="16"/>
      <c r="AO24" s="16"/>
      <c r="AP24" s="16"/>
      <c r="AQ24" s="16"/>
    </row>
    <row r="25" customFormat="false" ht="41.75" hidden="false" customHeight="true" outlineLevel="0" collapsed="false">
      <c r="A25" s="17"/>
      <c r="B25" s="40" t="s">
        <v>114</v>
      </c>
      <c r="C25" s="26" t="s">
        <v>115</v>
      </c>
      <c r="D25" s="22"/>
      <c r="E25" s="22"/>
      <c r="F25" s="22"/>
      <c r="G25" s="22" t="n">
        <v>1</v>
      </c>
      <c r="H25" s="42" t="s">
        <v>116</v>
      </c>
      <c r="I25" s="22"/>
      <c r="J25" s="22"/>
      <c r="K25" s="22"/>
      <c r="L25" s="22" t="n">
        <v>1</v>
      </c>
      <c r="M25" s="42" t="s">
        <v>117</v>
      </c>
      <c r="N25" s="22"/>
      <c r="O25" s="22"/>
      <c r="P25" s="22"/>
      <c r="Q25" s="22" t="n">
        <v>1</v>
      </c>
      <c r="R25" s="42" t="s">
        <v>118</v>
      </c>
      <c r="S25" s="22"/>
      <c r="T25" s="22"/>
      <c r="U25" s="22"/>
      <c r="V25" s="22" t="n">
        <v>1</v>
      </c>
      <c r="W25" s="16"/>
      <c r="X25" s="16"/>
      <c r="Y25" s="16"/>
      <c r="Z25" s="16"/>
      <c r="AA25" s="16"/>
      <c r="AB25" s="16"/>
      <c r="AC25" s="16"/>
      <c r="AD25" s="16"/>
      <c r="AE25" s="16"/>
      <c r="AF25" s="16"/>
      <c r="AG25" s="16"/>
      <c r="AH25" s="16"/>
      <c r="AI25" s="16"/>
      <c r="AJ25" s="16"/>
      <c r="AK25" s="16"/>
      <c r="AL25" s="16"/>
      <c r="AM25" s="16"/>
      <c r="AN25" s="16"/>
      <c r="AO25" s="16"/>
      <c r="AP25" s="16"/>
      <c r="AQ25" s="16"/>
    </row>
    <row r="26" customFormat="false" ht="41.75" hidden="false" customHeight="false" outlineLevel="0" collapsed="false">
      <c r="A26" s="17"/>
      <c r="B26" s="17"/>
      <c r="C26" s="42" t="s">
        <v>119</v>
      </c>
      <c r="D26" s="22"/>
      <c r="E26" s="22"/>
      <c r="F26" s="22"/>
      <c r="G26" s="22" t="n">
        <v>1</v>
      </c>
      <c r="H26" s="26" t="s">
        <v>120</v>
      </c>
      <c r="I26" s="22"/>
      <c r="J26" s="22"/>
      <c r="K26" s="22"/>
      <c r="L26" s="22" t="n">
        <v>1</v>
      </c>
      <c r="M26" s="26" t="s">
        <v>121</v>
      </c>
      <c r="N26" s="22"/>
      <c r="O26" s="22"/>
      <c r="P26" s="22"/>
      <c r="Q26" s="22" t="n">
        <v>1</v>
      </c>
      <c r="R26" s="42" t="s">
        <v>122</v>
      </c>
      <c r="S26" s="22"/>
      <c r="T26" s="22"/>
      <c r="U26" s="22"/>
      <c r="V26" s="22" t="n">
        <v>1</v>
      </c>
      <c r="W26" s="16"/>
      <c r="X26" s="16"/>
      <c r="Y26" s="16"/>
      <c r="Z26" s="16"/>
      <c r="AA26" s="16"/>
      <c r="AB26" s="16"/>
      <c r="AC26" s="16"/>
      <c r="AD26" s="16"/>
      <c r="AE26" s="16"/>
      <c r="AF26" s="16"/>
      <c r="AG26" s="16"/>
      <c r="AH26" s="16"/>
      <c r="AI26" s="16"/>
      <c r="AJ26" s="16"/>
      <c r="AK26" s="16"/>
      <c r="AL26" s="16"/>
      <c r="AM26" s="16"/>
      <c r="AN26" s="16"/>
      <c r="AO26" s="16"/>
      <c r="AP26" s="16"/>
      <c r="AQ26" s="16"/>
    </row>
    <row r="27" customFormat="false" ht="15.75" hidden="false" customHeight="false" outlineLevel="0" collapsed="false">
      <c r="A27" s="17"/>
      <c r="B27" s="17"/>
      <c r="C27" s="42" t="s">
        <v>123</v>
      </c>
      <c r="D27" s="22"/>
      <c r="E27" s="22"/>
      <c r="F27" s="22"/>
      <c r="G27" s="22" t="n">
        <v>1</v>
      </c>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row>
    <row r="28" customFormat="false" ht="15.75" hidden="false" customHeight="true" outlineLevel="0" collapsed="false">
      <c r="A28" s="17"/>
      <c r="B28" s="34" t="s">
        <v>88</v>
      </c>
      <c r="C28" s="34"/>
      <c r="D28" s="50" t="e">
        <f aca="false">IF( AND(COUNT(D25:G25)=1,COUNT(D26:G26)=1,COUNT(D27:G27)=1), (SUM(F25:F27) + (SUM(E25:E27)/2)) / COUNTBLANK(G25:G27), "Error - check cell values")</f>
        <v>#DIV/0!</v>
      </c>
      <c r="E28" s="50"/>
      <c r="F28" s="51" t="n">
        <f aca="false">COUNTBLANK(G25:G27)</f>
        <v>0</v>
      </c>
      <c r="G28" s="51" t="n">
        <f aca="false">ROWS(G25:G27)</f>
        <v>3</v>
      </c>
      <c r="H28" s="52" t="s">
        <v>88</v>
      </c>
      <c r="I28" s="50" t="e">
        <f aca="false">IF( AND(COUNT(I25:L25)=1,COUNT(I26:L26)=1), (SUM(K25:K26) + (SUM(J25:J26)/2)) / COUNTBLANK(L25:L26), "Error - check cell values")</f>
        <v>#DIV/0!</v>
      </c>
      <c r="J28" s="50"/>
      <c r="K28" s="51" t="n">
        <f aca="false">COUNTBLANK(L25:L26)</f>
        <v>0</v>
      </c>
      <c r="L28" s="51" t="n">
        <f aca="false">ROWS(L25:L26)</f>
        <v>2</v>
      </c>
      <c r="M28" s="52" t="s">
        <v>88</v>
      </c>
      <c r="N28" s="50" t="e">
        <f aca="false">IF( AND(COUNT(N25:Q25)=1,COUNT(N26:Q26)=1), (SUM(P25:P26) + (SUM(O25:O26)/2)) / COUNTBLANK(Q25:Q26), "Error - check cell values")</f>
        <v>#DIV/0!</v>
      </c>
      <c r="O28" s="50"/>
      <c r="P28" s="51" t="n">
        <f aca="false">COUNTBLANK(Q25:Q26)</f>
        <v>0</v>
      </c>
      <c r="Q28" s="51" t="n">
        <f aca="false">ROWS(Q25:Q26)</f>
        <v>2</v>
      </c>
      <c r="R28" s="52" t="s">
        <v>88</v>
      </c>
      <c r="S28" s="50" t="e">
        <f aca="false">IF( AND(COUNT(S25:V25)=1,COUNT(S26:V26)=1), (SUM(U25:U26) + (SUM(T25:T26)/2)) / COUNTBLANK(V25:V26), "Error - check cell values")</f>
        <v>#DIV/0!</v>
      </c>
      <c r="T28" s="50"/>
      <c r="U28" s="51" t="n">
        <f aca="false">COUNTBLANK(V25:V26)</f>
        <v>0</v>
      </c>
      <c r="V28" s="51" t="n">
        <f aca="false">ROWS(V25:V26)</f>
        <v>2</v>
      </c>
      <c r="W28" s="53"/>
      <c r="X28" s="53"/>
      <c r="Y28" s="53"/>
      <c r="Z28" s="53"/>
      <c r="AA28" s="53"/>
      <c r="AB28" s="53"/>
      <c r="AC28" s="53"/>
      <c r="AD28" s="53"/>
      <c r="AE28" s="53"/>
      <c r="AF28" s="53"/>
      <c r="AG28" s="53"/>
      <c r="AH28" s="53"/>
      <c r="AI28" s="53"/>
      <c r="AJ28" s="53"/>
      <c r="AK28" s="53"/>
      <c r="AL28" s="53"/>
      <c r="AM28" s="53"/>
      <c r="AN28" s="53"/>
      <c r="AO28" s="53"/>
      <c r="AP28" s="53"/>
      <c r="AQ28" s="53"/>
    </row>
    <row r="29" customFormat="false" ht="41.75" hidden="false" customHeight="false" outlineLevel="0" collapsed="false">
      <c r="A29" s="17"/>
      <c r="B29" s="54"/>
      <c r="C29" s="54"/>
      <c r="D29" s="38" t="s">
        <v>77</v>
      </c>
      <c r="E29" s="38" t="s">
        <v>89</v>
      </c>
      <c r="F29" s="38" t="s">
        <v>78</v>
      </c>
      <c r="G29" s="38" t="s">
        <v>90</v>
      </c>
      <c r="H29" s="39"/>
      <c r="I29" s="38" t="s">
        <v>77</v>
      </c>
      <c r="J29" s="38" t="s">
        <v>89</v>
      </c>
      <c r="K29" s="38" t="s">
        <v>78</v>
      </c>
      <c r="L29" s="38" t="s">
        <v>90</v>
      </c>
      <c r="M29" s="39"/>
      <c r="N29" s="38" t="s">
        <v>77</v>
      </c>
      <c r="O29" s="38" t="s">
        <v>89</v>
      </c>
      <c r="P29" s="38" t="s">
        <v>78</v>
      </c>
      <c r="Q29" s="38" t="s">
        <v>90</v>
      </c>
      <c r="R29" s="39"/>
      <c r="S29" s="38" t="s">
        <v>77</v>
      </c>
      <c r="T29" s="38" t="s">
        <v>89</v>
      </c>
      <c r="U29" s="38" t="s">
        <v>78</v>
      </c>
      <c r="V29" s="38" t="s">
        <v>90</v>
      </c>
      <c r="W29" s="16"/>
      <c r="X29" s="16"/>
      <c r="Y29" s="16"/>
      <c r="Z29" s="16"/>
      <c r="AA29" s="16"/>
      <c r="AB29" s="16"/>
      <c r="AC29" s="16"/>
      <c r="AD29" s="16"/>
      <c r="AE29" s="16"/>
      <c r="AF29" s="16"/>
      <c r="AG29" s="16"/>
      <c r="AH29" s="16"/>
      <c r="AI29" s="16"/>
      <c r="AJ29" s="16"/>
      <c r="AK29" s="16"/>
      <c r="AL29" s="16"/>
      <c r="AM29" s="16"/>
      <c r="AN29" s="16"/>
      <c r="AO29" s="16"/>
      <c r="AP29" s="16"/>
      <c r="AQ29" s="16"/>
    </row>
    <row r="30" customFormat="false" ht="55.2" hidden="false" customHeight="true" outlineLevel="0" collapsed="false">
      <c r="A30" s="17"/>
      <c r="B30" s="40" t="s">
        <v>124</v>
      </c>
      <c r="C30" s="26" t="s">
        <v>125</v>
      </c>
      <c r="D30" s="22"/>
      <c r="E30" s="22"/>
      <c r="F30" s="22"/>
      <c r="G30" s="22" t="n">
        <v>1</v>
      </c>
      <c r="H30" s="26" t="s">
        <v>126</v>
      </c>
      <c r="I30" s="22"/>
      <c r="J30" s="22"/>
      <c r="K30" s="22"/>
      <c r="L30" s="22" t="n">
        <v>1</v>
      </c>
      <c r="M30" s="26" t="s">
        <v>127</v>
      </c>
      <c r="N30" s="22"/>
      <c r="O30" s="22"/>
      <c r="P30" s="22"/>
      <c r="Q30" s="22" t="n">
        <v>1</v>
      </c>
      <c r="R30" s="26" t="s">
        <v>128</v>
      </c>
      <c r="S30" s="22"/>
      <c r="T30" s="22"/>
      <c r="U30" s="22"/>
      <c r="V30" s="22" t="n">
        <v>1</v>
      </c>
      <c r="W30" s="16"/>
      <c r="X30" s="16"/>
      <c r="Y30" s="16"/>
      <c r="Z30" s="16"/>
      <c r="AA30" s="16"/>
      <c r="AB30" s="16"/>
      <c r="AC30" s="16"/>
      <c r="AD30" s="16"/>
      <c r="AE30" s="16"/>
      <c r="AF30" s="16"/>
      <c r="AG30" s="16"/>
      <c r="AH30" s="16"/>
      <c r="AI30" s="16"/>
      <c r="AJ30" s="16"/>
      <c r="AK30" s="16"/>
      <c r="AL30" s="16"/>
      <c r="AM30" s="16"/>
      <c r="AN30" s="16"/>
      <c r="AO30" s="16"/>
      <c r="AP30" s="16"/>
      <c r="AQ30" s="16"/>
    </row>
    <row r="31" customFormat="false" ht="82.05" hidden="false" customHeight="false" outlineLevel="0" collapsed="false">
      <c r="A31" s="17"/>
      <c r="B31" s="17"/>
      <c r="C31" s="42" t="s">
        <v>129</v>
      </c>
      <c r="D31" s="22"/>
      <c r="E31" s="22"/>
      <c r="F31" s="22"/>
      <c r="G31" s="22" t="n">
        <v>1</v>
      </c>
      <c r="H31" s="26" t="s">
        <v>130</v>
      </c>
      <c r="I31" s="22"/>
      <c r="J31" s="22"/>
      <c r="K31" s="22"/>
      <c r="L31" s="22" t="n">
        <v>1</v>
      </c>
      <c r="M31" s="26" t="s">
        <v>131</v>
      </c>
      <c r="N31" s="22"/>
      <c r="O31" s="22"/>
      <c r="P31" s="22"/>
      <c r="Q31" s="22" t="n">
        <v>1</v>
      </c>
      <c r="R31" s="26" t="s">
        <v>132</v>
      </c>
      <c r="S31" s="22"/>
      <c r="T31" s="22"/>
      <c r="U31" s="22"/>
      <c r="V31" s="22" t="n">
        <v>1</v>
      </c>
      <c r="W31" s="16"/>
      <c r="X31" s="16"/>
      <c r="Y31" s="16"/>
      <c r="Z31" s="16"/>
      <c r="AA31" s="16"/>
      <c r="AB31" s="16"/>
      <c r="AC31" s="16"/>
      <c r="AD31" s="16"/>
      <c r="AE31" s="16"/>
      <c r="AF31" s="16"/>
      <c r="AG31" s="16"/>
      <c r="AH31" s="16"/>
      <c r="AI31" s="16"/>
      <c r="AJ31" s="16"/>
      <c r="AK31" s="16"/>
      <c r="AL31" s="16"/>
      <c r="AM31" s="16"/>
      <c r="AN31" s="16"/>
      <c r="AO31" s="16"/>
      <c r="AP31" s="16"/>
      <c r="AQ31" s="16"/>
    </row>
    <row r="32" customFormat="false" ht="68.65" hidden="false" customHeight="false" outlineLevel="0" collapsed="false">
      <c r="A32" s="17"/>
      <c r="B32" s="17"/>
      <c r="C32" s="42" t="s">
        <v>133</v>
      </c>
      <c r="D32" s="22"/>
      <c r="E32" s="22"/>
      <c r="F32" s="22"/>
      <c r="G32" s="22" t="n">
        <v>1</v>
      </c>
      <c r="H32" s="26" t="s">
        <v>134</v>
      </c>
      <c r="I32" s="22"/>
      <c r="J32" s="22"/>
      <c r="K32" s="22"/>
      <c r="L32" s="22" t="n">
        <v>1</v>
      </c>
      <c r="M32" s="42" t="s">
        <v>135</v>
      </c>
      <c r="N32" s="22"/>
      <c r="O32" s="22"/>
      <c r="P32" s="22"/>
      <c r="Q32" s="22" t="n">
        <v>1</v>
      </c>
      <c r="R32" s="26" t="s">
        <v>136</v>
      </c>
      <c r="S32" s="22"/>
      <c r="T32" s="22"/>
      <c r="U32" s="22"/>
      <c r="V32" s="22" t="n">
        <v>1</v>
      </c>
      <c r="W32" s="16"/>
      <c r="X32" s="16"/>
      <c r="Y32" s="16"/>
      <c r="Z32" s="16"/>
      <c r="AA32" s="16"/>
      <c r="AB32" s="16"/>
      <c r="AC32" s="16"/>
      <c r="AD32" s="16"/>
      <c r="AE32" s="16"/>
      <c r="AF32" s="16"/>
      <c r="AG32" s="16"/>
      <c r="AH32" s="16"/>
      <c r="AI32" s="16"/>
      <c r="AJ32" s="16"/>
      <c r="AK32" s="16"/>
      <c r="AL32" s="16"/>
      <c r="AM32" s="16"/>
      <c r="AN32" s="16"/>
      <c r="AO32" s="16"/>
      <c r="AP32" s="16"/>
      <c r="AQ32" s="16"/>
    </row>
    <row r="33" customFormat="false" ht="41.75" hidden="false" customHeight="false" outlineLevel="0" collapsed="false">
      <c r="A33" s="17"/>
      <c r="B33" s="17"/>
      <c r="C33" s="42" t="s">
        <v>137</v>
      </c>
      <c r="D33" s="22"/>
      <c r="E33" s="22"/>
      <c r="F33" s="22"/>
      <c r="G33" s="22" t="n">
        <v>1</v>
      </c>
      <c r="H33" s="26" t="s">
        <v>138</v>
      </c>
      <c r="I33" s="22"/>
      <c r="J33" s="22"/>
      <c r="K33" s="22"/>
      <c r="L33" s="22" t="n">
        <v>1</v>
      </c>
      <c r="M33" s="42" t="s">
        <v>139</v>
      </c>
      <c r="N33" s="22"/>
      <c r="O33" s="22"/>
      <c r="P33" s="22"/>
      <c r="Q33" s="22" t="n">
        <v>1</v>
      </c>
      <c r="R33" s="26" t="s">
        <v>140</v>
      </c>
      <c r="S33" s="22"/>
      <c r="T33" s="22"/>
      <c r="U33" s="22"/>
      <c r="V33" s="22" t="n">
        <v>1</v>
      </c>
      <c r="W33" s="16"/>
      <c r="X33" s="16"/>
      <c r="Y33" s="16"/>
      <c r="Z33" s="16"/>
      <c r="AA33" s="16"/>
      <c r="AB33" s="16"/>
      <c r="AC33" s="16"/>
      <c r="AD33" s="16"/>
      <c r="AE33" s="16"/>
      <c r="AF33" s="16"/>
      <c r="AG33" s="16"/>
      <c r="AH33" s="16"/>
      <c r="AI33" s="16"/>
      <c r="AJ33" s="16"/>
      <c r="AK33" s="16"/>
      <c r="AL33" s="16"/>
      <c r="AM33" s="16"/>
      <c r="AN33" s="16"/>
      <c r="AO33" s="16"/>
      <c r="AP33" s="16"/>
      <c r="AQ33" s="16"/>
    </row>
    <row r="34" customFormat="false" ht="41.75" hidden="false" customHeight="false" outlineLevel="0" collapsed="false">
      <c r="A34" s="17"/>
      <c r="B34" s="17"/>
      <c r="C34" s="42" t="s">
        <v>141</v>
      </c>
      <c r="D34" s="22"/>
      <c r="E34" s="22"/>
      <c r="F34" s="22"/>
      <c r="G34" s="22" t="n">
        <v>1</v>
      </c>
      <c r="H34" s="26" t="s">
        <v>142</v>
      </c>
      <c r="I34" s="22"/>
      <c r="J34" s="22"/>
      <c r="K34" s="22"/>
      <c r="L34" s="22" t="n">
        <v>1</v>
      </c>
      <c r="M34" s="42" t="s">
        <v>143</v>
      </c>
      <c r="N34" s="22"/>
      <c r="O34" s="22"/>
      <c r="P34" s="22"/>
      <c r="Q34" s="22" t="n">
        <v>1</v>
      </c>
      <c r="R34" s="26" t="s">
        <v>144</v>
      </c>
      <c r="S34" s="22"/>
      <c r="T34" s="22"/>
      <c r="U34" s="22"/>
      <c r="V34" s="22" t="n">
        <v>1</v>
      </c>
      <c r="W34" s="16"/>
      <c r="X34" s="16"/>
      <c r="Y34" s="16"/>
      <c r="Z34" s="16"/>
      <c r="AA34" s="16"/>
      <c r="AB34" s="16"/>
      <c r="AC34" s="16"/>
      <c r="AD34" s="16"/>
      <c r="AE34" s="16"/>
      <c r="AF34" s="16"/>
      <c r="AG34" s="16"/>
      <c r="AH34" s="16"/>
      <c r="AI34" s="16"/>
      <c r="AJ34" s="16"/>
      <c r="AK34" s="16"/>
      <c r="AL34" s="16"/>
      <c r="AM34" s="16"/>
      <c r="AN34" s="16"/>
      <c r="AO34" s="16"/>
      <c r="AP34" s="16"/>
      <c r="AQ34" s="16"/>
    </row>
    <row r="35" customFormat="false" ht="82.05" hidden="false" customHeight="false" outlineLevel="0" collapsed="false">
      <c r="A35" s="17"/>
      <c r="B35" s="17"/>
      <c r="C35" s="27"/>
      <c r="D35" s="27"/>
      <c r="E35" s="27"/>
      <c r="F35" s="27"/>
      <c r="G35" s="27"/>
      <c r="H35" s="26" t="s">
        <v>145</v>
      </c>
      <c r="I35" s="22"/>
      <c r="J35" s="22"/>
      <c r="K35" s="22"/>
      <c r="L35" s="22" t="n">
        <v>1</v>
      </c>
      <c r="M35" s="42" t="s">
        <v>146</v>
      </c>
      <c r="N35" s="22"/>
      <c r="O35" s="22"/>
      <c r="P35" s="22"/>
      <c r="Q35" s="22" t="n">
        <v>1</v>
      </c>
      <c r="R35" s="55" t="s">
        <v>147</v>
      </c>
      <c r="S35" s="22"/>
      <c r="T35" s="22"/>
      <c r="U35" s="22"/>
      <c r="V35" s="22" t="n">
        <v>1</v>
      </c>
      <c r="W35" s="16"/>
      <c r="X35" s="16"/>
      <c r="Y35" s="16"/>
      <c r="Z35" s="16"/>
      <c r="AA35" s="16"/>
      <c r="AB35" s="16"/>
      <c r="AC35" s="16"/>
      <c r="AD35" s="16"/>
      <c r="AE35" s="16"/>
      <c r="AF35" s="16"/>
      <c r="AG35" s="16"/>
      <c r="AH35" s="16"/>
      <c r="AI35" s="16"/>
      <c r="AJ35" s="16"/>
      <c r="AK35" s="16"/>
      <c r="AL35" s="16"/>
      <c r="AM35" s="16"/>
      <c r="AN35" s="16"/>
      <c r="AO35" s="16"/>
      <c r="AP35" s="16"/>
      <c r="AQ35" s="16"/>
    </row>
    <row r="36" customFormat="false" ht="41.75" hidden="false" customHeight="false" outlineLevel="0" collapsed="false">
      <c r="A36" s="17"/>
      <c r="B36" s="17"/>
      <c r="C36" s="17"/>
      <c r="D36" s="27"/>
      <c r="E36" s="27"/>
      <c r="F36" s="27"/>
      <c r="G36" s="27"/>
      <c r="H36" s="56"/>
      <c r="I36" s="56"/>
      <c r="J36" s="56"/>
      <c r="K36" s="56"/>
      <c r="L36" s="56"/>
      <c r="M36" s="26" t="s">
        <v>148</v>
      </c>
      <c r="N36" s="22"/>
      <c r="O36" s="22"/>
      <c r="P36" s="22"/>
      <c r="Q36" s="22" t="n">
        <v>1</v>
      </c>
      <c r="R36" s="57"/>
      <c r="S36" s="57"/>
      <c r="T36" s="57"/>
      <c r="U36" s="57"/>
      <c r="V36" s="57"/>
      <c r="W36" s="16"/>
      <c r="X36" s="16"/>
      <c r="Y36" s="16"/>
      <c r="Z36" s="16"/>
      <c r="AA36" s="16"/>
      <c r="AB36" s="16"/>
      <c r="AC36" s="16"/>
      <c r="AD36" s="16"/>
      <c r="AE36" s="16"/>
      <c r="AF36" s="16"/>
      <c r="AG36" s="16"/>
      <c r="AH36" s="16"/>
      <c r="AI36" s="16"/>
      <c r="AJ36" s="16"/>
      <c r="AK36" s="16"/>
      <c r="AL36" s="16"/>
      <c r="AM36" s="16"/>
      <c r="AN36" s="16"/>
      <c r="AO36" s="16"/>
      <c r="AP36" s="16"/>
      <c r="AQ36" s="16"/>
    </row>
    <row r="37" customFormat="false" ht="61.15" hidden="false" customHeight="false" outlineLevel="0" collapsed="false">
      <c r="A37" s="17"/>
      <c r="B37" s="17"/>
      <c r="C37" s="17"/>
      <c r="D37" s="27"/>
      <c r="E37" s="27"/>
      <c r="F37" s="27"/>
      <c r="G37" s="27"/>
      <c r="H37" s="56"/>
      <c r="I37" s="56"/>
      <c r="J37" s="56"/>
      <c r="K37" s="56"/>
      <c r="L37" s="56"/>
      <c r="M37" s="58" t="s">
        <v>149</v>
      </c>
      <c r="N37" s="59"/>
      <c r="O37" s="59"/>
      <c r="P37" s="59"/>
      <c r="Q37" s="59" t="n">
        <v>1</v>
      </c>
      <c r="R37" s="57"/>
      <c r="S37" s="57"/>
      <c r="T37" s="57"/>
      <c r="U37" s="57"/>
      <c r="V37" s="57"/>
      <c r="W37" s="16"/>
      <c r="X37" s="16"/>
      <c r="Y37" s="16"/>
      <c r="Z37" s="16"/>
      <c r="AA37" s="16"/>
      <c r="AB37" s="16"/>
      <c r="AC37" s="16"/>
      <c r="AD37" s="16"/>
      <c r="AE37" s="16"/>
      <c r="AF37" s="16"/>
      <c r="AG37" s="16"/>
      <c r="AH37" s="16"/>
      <c r="AI37" s="16"/>
      <c r="AJ37" s="16"/>
      <c r="AK37" s="16"/>
      <c r="AL37" s="16"/>
      <c r="AM37" s="16"/>
      <c r="AN37" s="16"/>
      <c r="AO37" s="16"/>
      <c r="AP37" s="16"/>
      <c r="AQ37" s="16"/>
    </row>
    <row r="38" customFormat="false" ht="31.3" hidden="false" customHeight="false" outlineLevel="0" collapsed="false">
      <c r="A38" s="17"/>
      <c r="B38" s="17"/>
      <c r="C38" s="17"/>
      <c r="D38" s="27"/>
      <c r="E38" s="27"/>
      <c r="F38" s="27"/>
      <c r="G38" s="27"/>
      <c r="H38" s="56"/>
      <c r="I38" s="56"/>
      <c r="J38" s="56"/>
      <c r="K38" s="56"/>
      <c r="L38" s="56"/>
      <c r="M38" s="58" t="s">
        <v>150</v>
      </c>
      <c r="N38" s="59"/>
      <c r="O38" s="59"/>
      <c r="P38" s="59"/>
      <c r="Q38" s="59" t="n">
        <v>1</v>
      </c>
      <c r="R38" s="57"/>
      <c r="S38" s="57"/>
      <c r="T38" s="57"/>
      <c r="U38" s="57"/>
      <c r="V38" s="57"/>
      <c r="W38" s="16"/>
      <c r="X38" s="16"/>
      <c r="Y38" s="16"/>
      <c r="Z38" s="16"/>
      <c r="AA38" s="16"/>
      <c r="AB38" s="16"/>
      <c r="AC38" s="16"/>
      <c r="AD38" s="16"/>
      <c r="AE38" s="16"/>
      <c r="AF38" s="16"/>
      <c r="AG38" s="16"/>
      <c r="AH38" s="16"/>
      <c r="AI38" s="16"/>
      <c r="AJ38" s="16"/>
      <c r="AK38" s="16"/>
      <c r="AL38" s="16"/>
      <c r="AM38" s="16"/>
      <c r="AN38" s="16"/>
      <c r="AO38" s="16"/>
      <c r="AP38" s="16"/>
      <c r="AQ38" s="16"/>
    </row>
    <row r="39" customFormat="false" ht="15.75" hidden="false" customHeight="true" outlineLevel="0" collapsed="false">
      <c r="A39" s="60"/>
      <c r="B39" s="34" t="s">
        <v>88</v>
      </c>
      <c r="C39" s="34"/>
      <c r="D39" s="50" t="e">
        <f aca="false">IF( AND(COUNT(D30:G30)=1,COUNT(D31:G31)=1,COUNT(D32:G32)=1,COUNT(D33:G33)=1,COUNT(D34:G34)=1), (SUM(F30:F34) + (SUM(E30:E34)/2)) / COUNTBLANK(G30:G34), "Error - check cell values")</f>
        <v>#DIV/0!</v>
      </c>
      <c r="E39" s="50"/>
      <c r="F39" s="51" t="n">
        <f aca="false">COUNTBLANK(G30:G34)</f>
        <v>0</v>
      </c>
      <c r="G39" s="51" t="n">
        <f aca="false">ROWS(G30:G34)</f>
        <v>5</v>
      </c>
      <c r="H39" s="52" t="s">
        <v>88</v>
      </c>
      <c r="I39" s="50" t="e">
        <f aca="false">IF( AND(COUNT(I30:L30)=1,COUNT(I31:L31)=1,COUNT(I32:L32)=1,COUNT(I33:L33)=1,COUNT(I34:L34)=1,COUNT(I35:L35)=1), (SUM(K30:K35) + (SUM(J30:J35)/2)) / COUNTBLANK(L30:L35), "Error - check cell values")</f>
        <v>#DIV/0!</v>
      </c>
      <c r="J39" s="50"/>
      <c r="K39" s="51" t="n">
        <f aca="false">COUNTBLANK(L30:L35)</f>
        <v>0</v>
      </c>
      <c r="L39" s="51" t="n">
        <f aca="false">ROWS(L30:L35)</f>
        <v>6</v>
      </c>
      <c r="M39" s="52" t="s">
        <v>88</v>
      </c>
      <c r="N39" s="50" t="e">
        <f aca="false">IF( AND(COUNT(N30:Q30)=1,COUNT(N31:Q31)=1,COUNT(N32:Q32)=1,COUNT(N33:Q33)=1,COUNT(N34:Q34)=1,COUNT(N35:Q35)=1,COUNT(N36:Q36)=1,COUNT(N37:Q37)=1,COUNT(N38:Q38)=1), (SUM(P30:P38) + (SUM(O30:O38)/2)) / COUNTBLANK(Q30:Q38), "Error - check cell values")</f>
        <v>#DIV/0!</v>
      </c>
      <c r="O39" s="50"/>
      <c r="P39" s="51" t="n">
        <f aca="false">COUNTBLANK(Q30:Q38)</f>
        <v>0</v>
      </c>
      <c r="Q39" s="51" t="n">
        <f aca="false">ROWS(Q30:Q38)</f>
        <v>9</v>
      </c>
      <c r="R39" s="61" t="s">
        <v>88</v>
      </c>
      <c r="S39" s="50" t="e">
        <f aca="false">IF( AND(COUNT(S30:V30)=1,COUNT(S31:V31)=1,COUNT(S32:V32)=1,COUNT(S33:V33)=1,COUNT(S34:V34)=1,COUNT(S35:V35)=1), (SUM(U30:U35) + (SUM(T30:T35)/2)) / COUNTBLANK(V30:V35), "Error - check cell values")</f>
        <v>#DIV/0!</v>
      </c>
      <c r="T39" s="50"/>
      <c r="U39" s="51" t="n">
        <f aca="false">COUNTBLANK(V30:V35)</f>
        <v>0</v>
      </c>
      <c r="V39" s="51" t="n">
        <f aca="false">ROWS(V30:V35)</f>
        <v>6</v>
      </c>
      <c r="W39" s="16"/>
      <c r="X39" s="16"/>
      <c r="Y39" s="16"/>
      <c r="Z39" s="16"/>
      <c r="AA39" s="16"/>
      <c r="AB39" s="16"/>
      <c r="AC39" s="16"/>
      <c r="AD39" s="16"/>
      <c r="AE39" s="16"/>
      <c r="AF39" s="16"/>
      <c r="AG39" s="16"/>
      <c r="AH39" s="16"/>
      <c r="AI39" s="16"/>
      <c r="AJ39" s="16"/>
      <c r="AK39" s="16"/>
      <c r="AL39" s="16"/>
      <c r="AM39" s="16"/>
      <c r="AN39" s="16"/>
      <c r="AO39" s="16"/>
      <c r="AP39" s="16"/>
      <c r="AQ39" s="16"/>
    </row>
    <row r="40" customFormat="false" ht="41.75" hidden="false" customHeight="false" outlineLevel="0" collapsed="false">
      <c r="A40" s="62"/>
      <c r="B40" s="63"/>
      <c r="C40" s="63"/>
      <c r="D40" s="38" t="s">
        <v>77</v>
      </c>
      <c r="E40" s="38" t="s">
        <v>89</v>
      </c>
      <c r="F40" s="38" t="s">
        <v>78</v>
      </c>
      <c r="G40" s="38" t="s">
        <v>90</v>
      </c>
      <c r="H40" s="39"/>
      <c r="I40" s="38" t="s">
        <v>77</v>
      </c>
      <c r="J40" s="38" t="s">
        <v>89</v>
      </c>
      <c r="K40" s="38" t="s">
        <v>78</v>
      </c>
      <c r="L40" s="38" t="s">
        <v>90</v>
      </c>
      <c r="M40" s="39"/>
      <c r="N40" s="38" t="s">
        <v>77</v>
      </c>
      <c r="O40" s="38" t="s">
        <v>89</v>
      </c>
      <c r="P40" s="38" t="s">
        <v>78</v>
      </c>
      <c r="Q40" s="38" t="s">
        <v>90</v>
      </c>
      <c r="R40" s="39"/>
      <c r="S40" s="38" t="s">
        <v>77</v>
      </c>
      <c r="T40" s="38" t="s">
        <v>89</v>
      </c>
      <c r="U40" s="38" t="s">
        <v>78</v>
      </c>
      <c r="V40" s="38" t="s">
        <v>90</v>
      </c>
      <c r="W40" s="16"/>
      <c r="X40" s="16"/>
      <c r="Y40" s="16"/>
      <c r="Z40" s="16"/>
      <c r="AA40" s="16"/>
      <c r="AB40" s="16"/>
      <c r="AC40" s="16"/>
      <c r="AD40" s="16"/>
      <c r="AE40" s="16"/>
      <c r="AF40" s="16"/>
      <c r="AG40" s="16"/>
      <c r="AH40" s="16"/>
      <c r="AI40" s="16"/>
      <c r="AJ40" s="16"/>
      <c r="AK40" s="16"/>
      <c r="AL40" s="16"/>
      <c r="AM40" s="16"/>
      <c r="AN40" s="16"/>
      <c r="AO40" s="16"/>
      <c r="AP40" s="16"/>
      <c r="AQ40" s="16"/>
    </row>
    <row r="41" customFormat="false" ht="68.65" hidden="false" customHeight="true" outlineLevel="0" collapsed="false">
      <c r="A41" s="17" t="s">
        <v>151</v>
      </c>
      <c r="B41" s="40" t="s">
        <v>152</v>
      </c>
      <c r="C41" s="42" t="s">
        <v>153</v>
      </c>
      <c r="D41" s="22"/>
      <c r="E41" s="22"/>
      <c r="F41" s="22"/>
      <c r="G41" s="22" t="n">
        <v>1</v>
      </c>
      <c r="H41" s="26" t="s">
        <v>154</v>
      </c>
      <c r="I41" s="22"/>
      <c r="J41" s="22"/>
      <c r="K41" s="22"/>
      <c r="L41" s="22" t="n">
        <v>1</v>
      </c>
      <c r="M41" s="26" t="s">
        <v>155</v>
      </c>
      <c r="N41" s="22"/>
      <c r="O41" s="22"/>
      <c r="P41" s="22"/>
      <c r="Q41" s="22" t="n">
        <v>1</v>
      </c>
      <c r="R41" s="26" t="s">
        <v>156</v>
      </c>
      <c r="S41" s="22"/>
      <c r="T41" s="22"/>
      <c r="U41" s="22"/>
      <c r="V41" s="22" t="n">
        <v>1</v>
      </c>
      <c r="W41" s="16"/>
      <c r="X41" s="16"/>
      <c r="Y41" s="16"/>
      <c r="Z41" s="16"/>
      <c r="AA41" s="16"/>
      <c r="AB41" s="16"/>
      <c r="AC41" s="16"/>
      <c r="AD41" s="16"/>
      <c r="AE41" s="16"/>
      <c r="AF41" s="16"/>
      <c r="AG41" s="16"/>
      <c r="AH41" s="16"/>
      <c r="AI41" s="16"/>
      <c r="AJ41" s="16"/>
      <c r="AK41" s="16"/>
      <c r="AL41" s="16"/>
      <c r="AM41" s="16"/>
      <c r="AN41" s="16"/>
      <c r="AO41" s="16"/>
      <c r="AP41" s="16"/>
      <c r="AQ41" s="16"/>
    </row>
    <row r="42" customFormat="false" ht="55.2" hidden="false" customHeight="false" outlineLevel="0" collapsed="false">
      <c r="A42" s="17"/>
      <c r="B42" s="17"/>
      <c r="C42" s="42" t="s">
        <v>157</v>
      </c>
      <c r="D42" s="22"/>
      <c r="E42" s="22"/>
      <c r="F42" s="22"/>
      <c r="G42" s="22" t="n">
        <v>1</v>
      </c>
      <c r="H42" s="26" t="s">
        <v>158</v>
      </c>
      <c r="I42" s="22"/>
      <c r="J42" s="22"/>
      <c r="K42" s="22"/>
      <c r="L42" s="22" t="n">
        <v>1</v>
      </c>
      <c r="M42" s="26" t="s">
        <v>159</v>
      </c>
      <c r="N42" s="22"/>
      <c r="O42" s="22"/>
      <c r="P42" s="22"/>
      <c r="Q42" s="22" t="n">
        <v>1</v>
      </c>
      <c r="R42" s="46" t="s">
        <v>160</v>
      </c>
      <c r="S42" s="22"/>
      <c r="T42" s="22"/>
      <c r="U42" s="22"/>
      <c r="V42" s="22" t="n">
        <v>1</v>
      </c>
      <c r="W42" s="16"/>
      <c r="X42" s="16"/>
      <c r="Y42" s="16"/>
      <c r="Z42" s="16"/>
      <c r="AA42" s="16"/>
      <c r="AB42" s="16"/>
      <c r="AC42" s="16"/>
      <c r="AD42" s="16"/>
      <c r="AE42" s="16"/>
      <c r="AF42" s="16"/>
      <c r="AG42" s="16"/>
      <c r="AH42" s="16"/>
      <c r="AI42" s="16"/>
      <c r="AJ42" s="16"/>
      <c r="AK42" s="16"/>
      <c r="AL42" s="16"/>
      <c r="AM42" s="16"/>
      <c r="AN42" s="16"/>
      <c r="AO42" s="16"/>
      <c r="AP42" s="16"/>
      <c r="AQ42" s="16"/>
    </row>
    <row r="43" customFormat="false" ht="30" hidden="false" customHeight="true" outlineLevel="0" collapsed="false">
      <c r="A43" s="17"/>
      <c r="B43" s="17"/>
      <c r="C43" s="27"/>
      <c r="D43" s="27"/>
      <c r="E43" s="27"/>
      <c r="F43" s="27"/>
      <c r="G43" s="27"/>
      <c r="H43" s="26" t="s">
        <v>161</v>
      </c>
      <c r="I43" s="22"/>
      <c r="J43" s="22"/>
      <c r="K43" s="22"/>
      <c r="L43" s="22" t="n">
        <v>1</v>
      </c>
      <c r="M43" s="26" t="s">
        <v>162</v>
      </c>
      <c r="N43" s="22"/>
      <c r="O43" s="22"/>
      <c r="P43" s="22"/>
      <c r="Q43" s="22" t="n">
        <v>1</v>
      </c>
      <c r="R43" s="26" t="s">
        <v>163</v>
      </c>
      <c r="S43" s="22"/>
      <c r="T43" s="22"/>
      <c r="U43" s="22"/>
      <c r="V43" s="22" t="n">
        <v>1</v>
      </c>
      <c r="W43" s="16"/>
      <c r="X43" s="16"/>
      <c r="Y43" s="16"/>
      <c r="Z43" s="16"/>
      <c r="AA43" s="16"/>
      <c r="AB43" s="16"/>
      <c r="AC43" s="16"/>
      <c r="AD43" s="16"/>
      <c r="AE43" s="16"/>
      <c r="AF43" s="16"/>
      <c r="AG43" s="16"/>
      <c r="AH43" s="16"/>
      <c r="AI43" s="16"/>
      <c r="AJ43" s="16"/>
      <c r="AK43" s="16"/>
      <c r="AL43" s="16"/>
      <c r="AM43" s="16"/>
      <c r="AN43" s="16"/>
      <c r="AO43" s="16"/>
      <c r="AP43" s="16"/>
      <c r="AQ43" s="16"/>
    </row>
    <row r="44" customFormat="false" ht="30" hidden="false" customHeight="true" outlineLevel="0" collapsed="false">
      <c r="A44" s="17"/>
      <c r="B44" s="17"/>
      <c r="C44" s="17"/>
      <c r="D44" s="27"/>
      <c r="E44" s="27"/>
      <c r="F44" s="27"/>
      <c r="G44" s="27"/>
      <c r="H44" s="27"/>
      <c r="I44" s="27"/>
      <c r="J44" s="27"/>
      <c r="K44" s="27"/>
      <c r="L44" s="27"/>
      <c r="M44" s="26" t="s">
        <v>164</v>
      </c>
      <c r="N44" s="22"/>
      <c r="O44" s="22"/>
      <c r="P44" s="22"/>
      <c r="Q44" s="22" t="n">
        <v>1</v>
      </c>
      <c r="R44" s="26" t="s">
        <v>165</v>
      </c>
      <c r="S44" s="22"/>
      <c r="T44" s="22"/>
      <c r="U44" s="22"/>
      <c r="V44" s="22" t="n">
        <v>1</v>
      </c>
      <c r="W44" s="16"/>
      <c r="X44" s="16"/>
      <c r="Y44" s="16"/>
      <c r="Z44" s="16"/>
      <c r="AA44" s="16"/>
      <c r="AB44" s="16"/>
      <c r="AC44" s="16"/>
      <c r="AD44" s="16"/>
      <c r="AE44" s="16"/>
      <c r="AF44" s="16"/>
      <c r="AG44" s="16"/>
      <c r="AH44" s="16"/>
      <c r="AI44" s="16"/>
      <c r="AJ44" s="16"/>
      <c r="AK44" s="16"/>
      <c r="AL44" s="16"/>
      <c r="AM44" s="16"/>
      <c r="AN44" s="16"/>
      <c r="AO44" s="16"/>
      <c r="AP44" s="16"/>
      <c r="AQ44" s="16"/>
    </row>
    <row r="45" customFormat="false" ht="30.75" hidden="false" customHeight="true" outlineLevel="0" collapsed="false">
      <c r="A45" s="17"/>
      <c r="B45" s="17"/>
      <c r="C45" s="17"/>
      <c r="D45" s="27"/>
      <c r="E45" s="27"/>
      <c r="F45" s="27"/>
      <c r="G45" s="27"/>
      <c r="H45" s="27"/>
      <c r="I45" s="27"/>
      <c r="J45" s="27"/>
      <c r="K45" s="27"/>
      <c r="L45" s="27"/>
      <c r="M45" s="26" t="s">
        <v>166</v>
      </c>
      <c r="N45" s="22"/>
      <c r="O45" s="22"/>
      <c r="P45" s="22"/>
      <c r="Q45" s="22" t="n">
        <v>1</v>
      </c>
      <c r="R45" s="26" t="s">
        <v>167</v>
      </c>
      <c r="S45" s="22"/>
      <c r="T45" s="22"/>
      <c r="U45" s="22"/>
      <c r="V45" s="22" t="n">
        <v>1</v>
      </c>
      <c r="W45" s="16"/>
      <c r="X45" s="16"/>
      <c r="Y45" s="16"/>
      <c r="Z45" s="16"/>
      <c r="AA45" s="16"/>
      <c r="AB45" s="16"/>
      <c r="AC45" s="16"/>
      <c r="AD45" s="16"/>
      <c r="AE45" s="16"/>
      <c r="AF45" s="16"/>
      <c r="AG45" s="16"/>
      <c r="AH45" s="16"/>
      <c r="AI45" s="16"/>
      <c r="AJ45" s="16"/>
      <c r="AK45" s="16"/>
      <c r="AL45" s="16"/>
      <c r="AM45" s="16"/>
      <c r="AN45" s="16"/>
      <c r="AO45" s="16"/>
      <c r="AP45" s="16"/>
      <c r="AQ45" s="16"/>
    </row>
    <row r="46" customFormat="false" ht="61.15" hidden="false" customHeight="false" outlineLevel="0" collapsed="false">
      <c r="A46" s="17"/>
      <c r="B46" s="17"/>
      <c r="C46" s="17"/>
      <c r="D46" s="27"/>
      <c r="E46" s="27"/>
      <c r="F46" s="27"/>
      <c r="G46" s="27"/>
      <c r="H46" s="27"/>
      <c r="I46" s="27"/>
      <c r="J46" s="27"/>
      <c r="K46" s="27"/>
      <c r="L46" s="27"/>
      <c r="M46" s="58" t="s">
        <v>168</v>
      </c>
      <c r="N46" s="59"/>
      <c r="O46" s="59"/>
      <c r="P46" s="59"/>
      <c r="Q46" s="59" t="n">
        <v>1</v>
      </c>
      <c r="R46" s="26" t="s">
        <v>169</v>
      </c>
      <c r="S46" s="22"/>
      <c r="T46" s="22"/>
      <c r="U46" s="22"/>
      <c r="V46" s="22" t="n">
        <v>1</v>
      </c>
      <c r="W46" s="16"/>
      <c r="X46" s="16"/>
      <c r="Y46" s="16"/>
      <c r="Z46" s="16"/>
      <c r="AA46" s="16"/>
      <c r="AB46" s="16"/>
      <c r="AC46" s="16"/>
      <c r="AD46" s="16"/>
      <c r="AE46" s="16"/>
      <c r="AF46" s="16"/>
      <c r="AG46" s="16"/>
      <c r="AH46" s="16"/>
      <c r="AI46" s="16"/>
      <c r="AJ46" s="16"/>
      <c r="AK46" s="16"/>
      <c r="AL46" s="16"/>
      <c r="AM46" s="16"/>
      <c r="AN46" s="16"/>
      <c r="AO46" s="16"/>
      <c r="AP46" s="16"/>
      <c r="AQ46" s="16"/>
    </row>
    <row r="47" customFormat="false" ht="15.75" hidden="false" customHeight="true" outlineLevel="0" collapsed="false">
      <c r="A47" s="52"/>
      <c r="B47" s="34" t="s">
        <v>88</v>
      </c>
      <c r="C47" s="34"/>
      <c r="D47" s="50" t="e">
        <f aca="false">IF( AND(COUNT(D41:G41)=1,COUNT(D42:G42)=1), (SUM(F41:F42) + (SUM(E41:E42)/2)) / COUNTBLANK(G41:G42), "Error - check cell values")</f>
        <v>#DIV/0!</v>
      </c>
      <c r="E47" s="50"/>
      <c r="F47" s="51" t="n">
        <f aca="false">COUNTBLANK(G41:G42)</f>
        <v>0</v>
      </c>
      <c r="G47" s="51" t="n">
        <f aca="false">ROWS(G41:G42)</f>
        <v>2</v>
      </c>
      <c r="H47" s="52" t="s">
        <v>88</v>
      </c>
      <c r="I47" s="50" t="e">
        <f aca="false">IF( AND(COUNT(I41:L41)=1,COUNT(I42:L42)=1,COUNT(I43:L43)=1), (SUM(K41:K43) + (SUM(J41:J43)/2)) / COUNTBLANK(L41:L43), "Error - check cell values")</f>
        <v>#DIV/0!</v>
      </c>
      <c r="J47" s="50"/>
      <c r="K47" s="51" t="n">
        <f aca="false">COUNTBLANK(L41:L43)</f>
        <v>0</v>
      </c>
      <c r="L47" s="51" t="n">
        <f aca="false">ROWS(L41:L43)</f>
        <v>3</v>
      </c>
      <c r="M47" s="52" t="s">
        <v>88</v>
      </c>
      <c r="N47" s="50" t="e">
        <f aca="false">IF( AND(COUNT(N41:Q41)=1,COUNT(N42:Q42)=1,COUNT(N43:Q43)=1,COUNT(N44:Q44)=1,COUNT(N45:Q45)=1,COUNT(N46:Q46)=1), (SUM(P41:P46) + (SUM(O41:O46)/2)) / COUNTBLANK(Q41:Q46), "Error - check cell values")</f>
        <v>#DIV/0!</v>
      </c>
      <c r="O47" s="50"/>
      <c r="P47" s="51" t="n">
        <f aca="false">COUNTBLANK(Q41:Q46)</f>
        <v>0</v>
      </c>
      <c r="Q47" s="51" t="n">
        <f aca="false">ROWS(Q41:Q46)</f>
        <v>6</v>
      </c>
      <c r="R47" s="61" t="s">
        <v>88</v>
      </c>
      <c r="S47" s="50" t="e">
        <f aca="false">IF( AND(COUNT(S41:V41)=1,COUNT(S42:V42)=1,COUNT(S43:V43)=1,COUNT(S44:V44)=1,COUNT(S45:V45)=1,COUNT(S46:V46)=1), (SUM(U41:U46) + (SUM(T41:T46)/2)) / COUNTBLANK(V41:V46), "Error - check cell values")</f>
        <v>#DIV/0!</v>
      </c>
      <c r="T47" s="50"/>
      <c r="U47" s="51" t="n">
        <f aca="false">COUNTBLANK(V41:V46)</f>
        <v>0</v>
      </c>
      <c r="V47" s="51" t="n">
        <f aca="false">ROWS(V41:V46)</f>
        <v>6</v>
      </c>
      <c r="W47" s="16"/>
      <c r="X47" s="16"/>
      <c r="Y47" s="16"/>
      <c r="Z47" s="16"/>
      <c r="AA47" s="16"/>
      <c r="AB47" s="16"/>
      <c r="AC47" s="16"/>
      <c r="AD47" s="16"/>
      <c r="AE47" s="16"/>
      <c r="AF47" s="16"/>
      <c r="AG47" s="16"/>
      <c r="AH47" s="16"/>
      <c r="AI47" s="16"/>
      <c r="AJ47" s="16"/>
      <c r="AK47" s="16"/>
      <c r="AL47" s="16"/>
      <c r="AM47" s="16"/>
      <c r="AN47" s="16"/>
      <c r="AO47" s="16"/>
      <c r="AP47" s="16"/>
      <c r="AQ47" s="16"/>
    </row>
    <row r="48" customFormat="false" ht="41.75" hidden="false" customHeight="false" outlineLevel="0" collapsed="false">
      <c r="A48" s="38"/>
      <c r="B48" s="54"/>
      <c r="C48" s="54"/>
      <c r="D48" s="38" t="s">
        <v>77</v>
      </c>
      <c r="E48" s="38" t="s">
        <v>89</v>
      </c>
      <c r="F48" s="38" t="s">
        <v>78</v>
      </c>
      <c r="G48" s="38" t="s">
        <v>90</v>
      </c>
      <c r="H48" s="39"/>
      <c r="I48" s="38" t="s">
        <v>77</v>
      </c>
      <c r="J48" s="38" t="s">
        <v>89</v>
      </c>
      <c r="K48" s="38" t="s">
        <v>78</v>
      </c>
      <c r="L48" s="38" t="s">
        <v>90</v>
      </c>
      <c r="M48" s="39"/>
      <c r="N48" s="38" t="s">
        <v>77</v>
      </c>
      <c r="O48" s="38" t="s">
        <v>89</v>
      </c>
      <c r="P48" s="38" t="s">
        <v>78</v>
      </c>
      <c r="Q48" s="38" t="s">
        <v>90</v>
      </c>
      <c r="R48" s="39"/>
      <c r="S48" s="38" t="s">
        <v>77</v>
      </c>
      <c r="T48" s="38" t="s">
        <v>89</v>
      </c>
      <c r="U48" s="38" t="s">
        <v>78</v>
      </c>
      <c r="V48" s="38" t="s">
        <v>90</v>
      </c>
      <c r="W48" s="16"/>
      <c r="X48" s="16"/>
      <c r="Y48" s="16"/>
      <c r="Z48" s="16"/>
      <c r="AA48" s="16"/>
      <c r="AB48" s="16"/>
      <c r="AC48" s="16"/>
      <c r="AD48" s="16"/>
      <c r="AE48" s="16"/>
      <c r="AF48" s="16"/>
      <c r="AG48" s="16"/>
      <c r="AH48" s="16"/>
      <c r="AI48" s="16"/>
      <c r="AJ48" s="16"/>
      <c r="AK48" s="16"/>
      <c r="AL48" s="16"/>
      <c r="AM48" s="16"/>
      <c r="AN48" s="16"/>
      <c r="AO48" s="16"/>
      <c r="AP48" s="16"/>
      <c r="AQ48" s="16"/>
    </row>
    <row r="49" customFormat="false" ht="41.75" hidden="false" customHeight="true" outlineLevel="0" collapsed="false">
      <c r="A49" s="17" t="s">
        <v>170</v>
      </c>
      <c r="B49" s="28" t="s">
        <v>171</v>
      </c>
      <c r="C49" s="26" t="s">
        <v>172</v>
      </c>
      <c r="D49" s="22"/>
      <c r="E49" s="22"/>
      <c r="F49" s="22"/>
      <c r="G49" s="22" t="n">
        <v>1</v>
      </c>
      <c r="H49" s="26" t="s">
        <v>173</v>
      </c>
      <c r="I49" s="22"/>
      <c r="J49" s="22"/>
      <c r="K49" s="22"/>
      <c r="L49" s="22" t="n">
        <v>1</v>
      </c>
      <c r="M49" s="26" t="s">
        <v>174</v>
      </c>
      <c r="N49" s="22"/>
      <c r="O49" s="22"/>
      <c r="P49" s="22"/>
      <c r="Q49" s="22" t="n">
        <v>1</v>
      </c>
      <c r="R49" s="46" t="s">
        <v>175</v>
      </c>
      <c r="S49" s="22"/>
      <c r="T49" s="22"/>
      <c r="U49" s="22"/>
      <c r="V49" s="22" t="n">
        <v>1</v>
      </c>
      <c r="W49" s="16"/>
      <c r="X49" s="16"/>
      <c r="Y49" s="16"/>
      <c r="Z49" s="16"/>
      <c r="AA49" s="16"/>
      <c r="AB49" s="16"/>
      <c r="AC49" s="16"/>
      <c r="AD49" s="16"/>
      <c r="AE49" s="16"/>
      <c r="AF49" s="16"/>
      <c r="AG49" s="16"/>
      <c r="AH49" s="16"/>
      <c r="AI49" s="16"/>
      <c r="AJ49" s="16"/>
      <c r="AK49" s="16"/>
      <c r="AL49" s="16"/>
      <c r="AM49" s="16"/>
      <c r="AN49" s="16"/>
      <c r="AO49" s="16"/>
      <c r="AP49" s="16"/>
      <c r="AQ49" s="16"/>
    </row>
    <row r="50" customFormat="false" ht="55.2" hidden="false" customHeight="false" outlineLevel="0" collapsed="false">
      <c r="A50" s="17"/>
      <c r="B50" s="17"/>
      <c r="C50" s="26" t="s">
        <v>176</v>
      </c>
      <c r="D50" s="22"/>
      <c r="E50" s="22"/>
      <c r="F50" s="22"/>
      <c r="G50" s="22" t="n">
        <v>1</v>
      </c>
      <c r="H50" s="26" t="s">
        <v>177</v>
      </c>
      <c r="I50" s="22"/>
      <c r="J50" s="22"/>
      <c r="K50" s="22"/>
      <c r="L50" s="22" t="n">
        <v>1</v>
      </c>
      <c r="M50" s="26" t="s">
        <v>178</v>
      </c>
      <c r="N50" s="22"/>
      <c r="O50" s="22"/>
      <c r="P50" s="22"/>
      <c r="Q50" s="22" t="n">
        <v>1</v>
      </c>
      <c r="R50" s="46" t="s">
        <v>179</v>
      </c>
      <c r="S50" s="22"/>
      <c r="T50" s="22"/>
      <c r="U50" s="22"/>
      <c r="V50" s="22" t="n">
        <v>1</v>
      </c>
      <c r="W50" s="16"/>
      <c r="X50" s="16"/>
      <c r="Y50" s="16"/>
      <c r="Z50" s="16"/>
      <c r="AA50" s="16"/>
      <c r="AB50" s="16"/>
      <c r="AC50" s="16"/>
      <c r="AD50" s="16"/>
      <c r="AE50" s="16"/>
      <c r="AF50" s="16"/>
      <c r="AG50" s="16"/>
      <c r="AH50" s="16"/>
      <c r="AI50" s="16"/>
      <c r="AJ50" s="16"/>
      <c r="AK50" s="16"/>
      <c r="AL50" s="16"/>
      <c r="AM50" s="16"/>
      <c r="AN50" s="16"/>
      <c r="AO50" s="16"/>
      <c r="AP50" s="16"/>
      <c r="AQ50" s="16"/>
    </row>
    <row r="51" customFormat="false" ht="55.2" hidden="false" customHeight="false" outlineLevel="0" collapsed="false">
      <c r="A51" s="17"/>
      <c r="B51" s="17"/>
      <c r="C51" s="26" t="s">
        <v>180</v>
      </c>
      <c r="D51" s="22"/>
      <c r="E51" s="22"/>
      <c r="F51" s="22"/>
      <c r="G51" s="22" t="n">
        <v>1</v>
      </c>
      <c r="H51" s="26" t="s">
        <v>181</v>
      </c>
      <c r="I51" s="22"/>
      <c r="J51" s="22"/>
      <c r="K51" s="22"/>
      <c r="L51" s="22" t="n">
        <v>1</v>
      </c>
      <c r="M51" s="26" t="s">
        <v>182</v>
      </c>
      <c r="N51" s="22"/>
      <c r="O51" s="22"/>
      <c r="P51" s="22"/>
      <c r="Q51" s="22" t="n">
        <v>1</v>
      </c>
      <c r="R51" s="26" t="s">
        <v>183</v>
      </c>
      <c r="S51" s="22"/>
      <c r="T51" s="22"/>
      <c r="U51" s="22"/>
      <c r="V51" s="22" t="n">
        <v>1</v>
      </c>
      <c r="W51" s="16"/>
      <c r="X51" s="16"/>
      <c r="Y51" s="16"/>
      <c r="Z51" s="16"/>
      <c r="AA51" s="16"/>
      <c r="AB51" s="16"/>
      <c r="AC51" s="16"/>
      <c r="AD51" s="16"/>
      <c r="AE51" s="16"/>
      <c r="AF51" s="16"/>
      <c r="AG51" s="16"/>
      <c r="AH51" s="16"/>
      <c r="AI51" s="16"/>
      <c r="AJ51" s="16"/>
      <c r="AK51" s="16"/>
      <c r="AL51" s="16"/>
      <c r="AM51" s="16"/>
      <c r="AN51" s="16"/>
      <c r="AO51" s="16"/>
      <c r="AP51" s="16"/>
      <c r="AQ51" s="16"/>
    </row>
    <row r="52" customFormat="false" ht="55.2" hidden="false" customHeight="false" outlineLevel="0" collapsed="false">
      <c r="A52" s="17"/>
      <c r="B52" s="17"/>
      <c r="C52" s="26" t="s">
        <v>184</v>
      </c>
      <c r="D52" s="22"/>
      <c r="E52" s="22"/>
      <c r="F52" s="22"/>
      <c r="G52" s="22" t="n">
        <v>1</v>
      </c>
      <c r="H52" s="26" t="s">
        <v>185</v>
      </c>
      <c r="I52" s="22"/>
      <c r="J52" s="22"/>
      <c r="K52" s="22"/>
      <c r="L52" s="22" t="n">
        <v>1</v>
      </c>
      <c r="M52" s="26" t="s">
        <v>186</v>
      </c>
      <c r="N52" s="22"/>
      <c r="O52" s="22"/>
      <c r="P52" s="22"/>
      <c r="Q52" s="22" t="n">
        <v>1</v>
      </c>
      <c r="R52" s="26" t="s">
        <v>187</v>
      </c>
      <c r="S52" s="22"/>
      <c r="T52" s="22"/>
      <c r="U52" s="22"/>
      <c r="V52" s="22" t="n">
        <v>1</v>
      </c>
      <c r="W52" s="16"/>
      <c r="X52" s="16"/>
      <c r="Y52" s="16"/>
      <c r="Z52" s="16"/>
      <c r="AA52" s="16"/>
      <c r="AB52" s="16"/>
      <c r="AC52" s="16"/>
      <c r="AD52" s="16"/>
      <c r="AE52" s="16"/>
      <c r="AF52" s="16"/>
      <c r="AG52" s="16"/>
      <c r="AH52" s="16"/>
      <c r="AI52" s="16"/>
      <c r="AJ52" s="16"/>
      <c r="AK52" s="16"/>
      <c r="AL52" s="16"/>
      <c r="AM52" s="16"/>
      <c r="AN52" s="16"/>
      <c r="AO52" s="16"/>
      <c r="AP52" s="16"/>
      <c r="AQ52" s="16"/>
    </row>
    <row r="53" customFormat="false" ht="41.75" hidden="false" customHeight="false" outlineLevel="0" collapsed="false">
      <c r="A53" s="17"/>
      <c r="B53" s="17"/>
      <c r="C53" s="27"/>
      <c r="D53" s="27"/>
      <c r="E53" s="27"/>
      <c r="F53" s="27"/>
      <c r="G53" s="27"/>
      <c r="H53" s="26" t="s">
        <v>188</v>
      </c>
      <c r="I53" s="22"/>
      <c r="J53" s="22"/>
      <c r="K53" s="22"/>
      <c r="L53" s="22" t="n">
        <v>1</v>
      </c>
      <c r="M53" s="26" t="s">
        <v>189</v>
      </c>
      <c r="N53" s="22"/>
      <c r="O53" s="22"/>
      <c r="P53" s="22"/>
      <c r="Q53" s="22" t="n">
        <v>1</v>
      </c>
      <c r="R53" s="26" t="s">
        <v>189</v>
      </c>
      <c r="S53" s="22"/>
      <c r="T53" s="22"/>
      <c r="U53" s="22"/>
      <c r="V53" s="22" t="n">
        <v>1</v>
      </c>
      <c r="W53" s="16"/>
      <c r="X53" s="16"/>
      <c r="Y53" s="16"/>
      <c r="Z53" s="16"/>
      <c r="AA53" s="16"/>
      <c r="AB53" s="16"/>
      <c r="AC53" s="16"/>
      <c r="AD53" s="16"/>
      <c r="AE53" s="16"/>
      <c r="AF53" s="16"/>
      <c r="AG53" s="16"/>
      <c r="AH53" s="16"/>
      <c r="AI53" s="16"/>
      <c r="AJ53" s="16"/>
      <c r="AK53" s="16"/>
      <c r="AL53" s="16"/>
      <c r="AM53" s="16"/>
      <c r="AN53" s="16"/>
      <c r="AO53" s="16"/>
      <c r="AP53" s="16"/>
      <c r="AQ53" s="16"/>
    </row>
    <row r="54" customFormat="false" ht="28.35" hidden="false" customHeight="false" outlineLevel="0" collapsed="false">
      <c r="A54" s="17"/>
      <c r="B54" s="17"/>
      <c r="C54" s="17"/>
      <c r="D54" s="27"/>
      <c r="E54" s="27"/>
      <c r="F54" s="27"/>
      <c r="G54" s="27"/>
      <c r="H54" s="26" t="s">
        <v>190</v>
      </c>
      <c r="I54" s="22"/>
      <c r="J54" s="22"/>
      <c r="K54" s="22"/>
      <c r="L54" s="22" t="n">
        <v>1</v>
      </c>
      <c r="M54" s="64"/>
      <c r="N54" s="64"/>
      <c r="O54" s="64"/>
      <c r="P54" s="64"/>
      <c r="Q54" s="64"/>
      <c r="R54" s="64"/>
      <c r="S54" s="64"/>
      <c r="T54" s="64"/>
      <c r="U54" s="64"/>
      <c r="V54" s="64"/>
      <c r="W54" s="16"/>
      <c r="X54" s="16"/>
      <c r="Y54" s="16"/>
      <c r="Z54" s="16"/>
      <c r="AA54" s="16"/>
      <c r="AB54" s="16"/>
      <c r="AC54" s="16"/>
      <c r="AD54" s="16"/>
      <c r="AE54" s="16"/>
      <c r="AF54" s="16"/>
      <c r="AG54" s="16"/>
      <c r="AH54" s="16"/>
      <c r="AI54" s="16"/>
      <c r="AJ54" s="16"/>
      <c r="AK54" s="16"/>
      <c r="AL54" s="16"/>
      <c r="AM54" s="16"/>
      <c r="AN54" s="16"/>
      <c r="AO54" s="16"/>
      <c r="AP54" s="16"/>
      <c r="AQ54" s="16"/>
    </row>
    <row r="55" customFormat="false" ht="30" hidden="false" customHeight="true" outlineLevel="0" collapsed="false">
      <c r="A55" s="17"/>
      <c r="B55" s="17"/>
      <c r="C55" s="17"/>
      <c r="D55" s="27"/>
      <c r="E55" s="27"/>
      <c r="F55" s="27"/>
      <c r="G55" s="27"/>
      <c r="H55" s="85" t="s">
        <v>191</v>
      </c>
      <c r="I55" s="22"/>
      <c r="J55" s="22"/>
      <c r="K55" s="22"/>
      <c r="L55" s="22" t="n">
        <v>1</v>
      </c>
      <c r="M55" s="64"/>
      <c r="N55" s="64"/>
      <c r="O55" s="64"/>
      <c r="P55" s="64"/>
      <c r="Q55" s="64"/>
      <c r="R55" s="64"/>
      <c r="S55" s="64"/>
      <c r="T55" s="64"/>
      <c r="U55" s="64"/>
      <c r="V55" s="64"/>
      <c r="W55" s="16"/>
      <c r="X55" s="16"/>
      <c r="Y55" s="16"/>
      <c r="Z55" s="16"/>
      <c r="AA55" s="16"/>
      <c r="AB55" s="16"/>
      <c r="AC55" s="16"/>
      <c r="AD55" s="16"/>
      <c r="AE55" s="16"/>
      <c r="AF55" s="16"/>
      <c r="AG55" s="16"/>
      <c r="AH55" s="16"/>
      <c r="AI55" s="16"/>
      <c r="AJ55" s="16"/>
      <c r="AK55" s="16"/>
      <c r="AL55" s="16"/>
      <c r="AM55" s="16"/>
      <c r="AN55" s="16"/>
      <c r="AO55" s="16"/>
      <c r="AP55" s="16"/>
      <c r="AQ55" s="16"/>
    </row>
    <row r="56" customFormat="false" ht="30" hidden="false" customHeight="true" outlineLevel="0" collapsed="false">
      <c r="A56" s="17"/>
      <c r="B56" s="17"/>
      <c r="C56" s="17"/>
      <c r="D56" s="27"/>
      <c r="E56" s="27"/>
      <c r="F56" s="27"/>
      <c r="G56" s="27"/>
      <c r="H56" s="26" t="s">
        <v>192</v>
      </c>
      <c r="I56" s="22"/>
      <c r="J56" s="22"/>
      <c r="K56" s="22"/>
      <c r="L56" s="22" t="n">
        <v>1</v>
      </c>
      <c r="M56" s="64"/>
      <c r="N56" s="64"/>
      <c r="O56" s="64"/>
      <c r="P56" s="64"/>
      <c r="Q56" s="64"/>
      <c r="R56" s="64"/>
      <c r="S56" s="64"/>
      <c r="T56" s="64"/>
      <c r="U56" s="64"/>
      <c r="V56" s="64"/>
      <c r="W56" s="16"/>
      <c r="X56" s="16"/>
      <c r="Y56" s="16"/>
      <c r="Z56" s="16"/>
      <c r="AA56" s="16"/>
      <c r="AB56" s="16"/>
      <c r="AC56" s="16"/>
      <c r="AD56" s="16"/>
      <c r="AE56" s="16"/>
      <c r="AF56" s="16"/>
      <c r="AG56" s="16"/>
      <c r="AH56" s="16"/>
      <c r="AI56" s="16"/>
      <c r="AJ56" s="16"/>
      <c r="AK56" s="16"/>
      <c r="AL56" s="16"/>
      <c r="AM56" s="16"/>
      <c r="AN56" s="16"/>
      <c r="AO56" s="16"/>
      <c r="AP56" s="16"/>
      <c r="AQ56" s="16"/>
    </row>
    <row r="57" customFormat="false" ht="30.75" hidden="false" customHeight="true" outlineLevel="0" collapsed="false">
      <c r="A57" s="17"/>
      <c r="B57" s="17"/>
      <c r="C57" s="17"/>
      <c r="D57" s="27"/>
      <c r="E57" s="27"/>
      <c r="F57" s="27"/>
      <c r="G57" s="27"/>
      <c r="H57" s="26" t="s">
        <v>193</v>
      </c>
      <c r="I57" s="22"/>
      <c r="J57" s="22"/>
      <c r="K57" s="22"/>
      <c r="L57" s="22" t="n">
        <v>1</v>
      </c>
      <c r="M57" s="64"/>
      <c r="N57" s="64"/>
      <c r="O57" s="64"/>
      <c r="P57" s="64"/>
      <c r="Q57" s="64"/>
      <c r="R57" s="64"/>
      <c r="S57" s="64"/>
      <c r="T57" s="64"/>
      <c r="U57" s="64"/>
      <c r="V57" s="64"/>
      <c r="W57" s="16"/>
      <c r="X57" s="16"/>
      <c r="Y57" s="16"/>
      <c r="Z57" s="16"/>
      <c r="AA57" s="16"/>
      <c r="AB57" s="16"/>
      <c r="AC57" s="16"/>
      <c r="AD57" s="16"/>
      <c r="AE57" s="16"/>
      <c r="AF57" s="16"/>
      <c r="AG57" s="16"/>
      <c r="AH57" s="16"/>
      <c r="AI57" s="16"/>
      <c r="AJ57" s="16"/>
      <c r="AK57" s="16"/>
      <c r="AL57" s="16"/>
      <c r="AM57" s="16"/>
      <c r="AN57" s="16"/>
      <c r="AO57" s="16"/>
      <c r="AP57" s="16"/>
      <c r="AQ57" s="16"/>
    </row>
    <row r="58" customFormat="false" ht="15.75" hidden="false" customHeight="true" outlineLevel="0" collapsed="false">
      <c r="A58" s="17"/>
      <c r="B58" s="34" t="s">
        <v>88</v>
      </c>
      <c r="C58" s="34"/>
      <c r="D58" s="66" t="e">
        <f aca="false">IF( AND(COUNT(D49:G49)=1,COUNT(D50:G50)=1,COUNT(D51:G51)=1,COUNT(D52:G52)=1), (SUM(F49:F52) + (SUM(E49:E52)/2)) / COUNTBLANK(G49:G52), "Error - check cell values")</f>
        <v>#DIV/0!</v>
      </c>
      <c r="E58" s="66"/>
      <c r="F58" s="51" t="n">
        <f aca="false">COUNTBLANK(G49:G52)</f>
        <v>0</v>
      </c>
      <c r="G58" s="51" t="n">
        <f aca="false">ROWS(G49:G52)</f>
        <v>4</v>
      </c>
      <c r="H58" s="52" t="s">
        <v>88</v>
      </c>
      <c r="I58" s="66" t="e">
        <f aca="false">IF( AND(COUNT(I49:L49)=1,COUNT(I50:L50)=1,COUNT(I51:L51)=1,COUNT(I52:L52)=1,COUNT(I53:L53)=1,COUNT(I54:L54)=1,COUNT(I55:L55)=1,COUNT(I56:L56)=1,COUNT(I57:L57)=1), (SUM(K49:K57) + (SUM(J49:J57)/2)) / COUNTBLANK(L49:L57), "Error - check cell values")</f>
        <v>#DIV/0!</v>
      </c>
      <c r="J58" s="66"/>
      <c r="K58" s="51" t="n">
        <f aca="false">COUNTBLANK(L49:L57)</f>
        <v>0</v>
      </c>
      <c r="L58" s="67" t="n">
        <f aca="false">ROWS(L49:L57)</f>
        <v>9</v>
      </c>
      <c r="M58" s="52" t="s">
        <v>88</v>
      </c>
      <c r="N58" s="66" t="e">
        <f aca="false">IF( AND(COUNT(N49:Q49)=1,COUNT(N50:Q50)=1,COUNT(N51:Q51)=1,COUNT(N52:Q52)=1,COUNT(N53:Q53)=1), (SUM(P49:P53) + (SUM(O49:O53)/2)) / COUNTBLANK(Q49:Q53), "Error - check cell values")</f>
        <v>#DIV/0!</v>
      </c>
      <c r="O58" s="66"/>
      <c r="P58" s="51" t="n">
        <f aca="false">COUNTBLANK(Q49:Q53)</f>
        <v>0</v>
      </c>
      <c r="Q58" s="67" t="n">
        <f aca="false">ROWS(Q49:Q53)</f>
        <v>5</v>
      </c>
      <c r="R58" s="52" t="s">
        <v>88</v>
      </c>
      <c r="S58" s="66" t="e">
        <f aca="false">IF( AND(COUNT(S49:V49)=1,COUNT(S50:V50)=1,COUNT(S51:V51)=1,COUNT(S52:V52)=1,COUNT(S53:V53)=1), (SUM(U49:U53) + (SUM(T49:T53)/2)) / COUNTBLANK(V49:V53), "Error - check cell values")</f>
        <v>#DIV/0!</v>
      </c>
      <c r="T58" s="66"/>
      <c r="U58" s="51" t="n">
        <f aca="false">COUNTBLANK(V49:V53)</f>
        <v>0</v>
      </c>
      <c r="V58" s="51" t="n">
        <f aca="false">ROWS(V49:V53)</f>
        <v>5</v>
      </c>
      <c r="W58" s="22"/>
      <c r="X58" s="22"/>
      <c r="Y58" s="22"/>
      <c r="Z58" s="22"/>
      <c r="AA58" s="22"/>
      <c r="AB58" s="22"/>
      <c r="AC58" s="22"/>
      <c r="AD58" s="22"/>
      <c r="AE58" s="22"/>
      <c r="AF58" s="22"/>
      <c r="AG58" s="22"/>
      <c r="AH58" s="22"/>
      <c r="AI58" s="22"/>
      <c r="AJ58" s="22"/>
      <c r="AK58" s="22"/>
      <c r="AL58" s="22"/>
      <c r="AM58" s="22"/>
      <c r="AN58" s="22"/>
      <c r="AO58" s="22"/>
      <c r="AP58" s="22"/>
      <c r="AQ58" s="22"/>
    </row>
    <row r="59" customFormat="false" ht="41.75" hidden="false" customHeight="false" outlineLevel="0" collapsed="false">
      <c r="A59" s="17"/>
      <c r="B59" s="54"/>
      <c r="C59" s="54"/>
      <c r="D59" s="38" t="s">
        <v>77</v>
      </c>
      <c r="E59" s="38" t="s">
        <v>89</v>
      </c>
      <c r="F59" s="38" t="s">
        <v>78</v>
      </c>
      <c r="G59" s="38" t="s">
        <v>90</v>
      </c>
      <c r="H59" s="39"/>
      <c r="I59" s="38" t="s">
        <v>77</v>
      </c>
      <c r="J59" s="38" t="s">
        <v>89</v>
      </c>
      <c r="K59" s="38" t="s">
        <v>78</v>
      </c>
      <c r="L59" s="38" t="s">
        <v>90</v>
      </c>
      <c r="M59" s="39"/>
      <c r="N59" s="38" t="s">
        <v>77</v>
      </c>
      <c r="O59" s="38" t="s">
        <v>89</v>
      </c>
      <c r="P59" s="38" t="s">
        <v>78</v>
      </c>
      <c r="Q59" s="38" t="s">
        <v>90</v>
      </c>
      <c r="R59" s="39"/>
      <c r="S59" s="38" t="s">
        <v>77</v>
      </c>
      <c r="T59" s="38" t="s">
        <v>89</v>
      </c>
      <c r="U59" s="38" t="s">
        <v>78</v>
      </c>
      <c r="V59" s="38" t="s">
        <v>90</v>
      </c>
      <c r="W59" s="16"/>
      <c r="X59" s="16"/>
      <c r="Y59" s="16"/>
      <c r="Z59" s="16"/>
      <c r="AA59" s="16"/>
      <c r="AB59" s="16"/>
      <c r="AC59" s="16"/>
      <c r="AD59" s="16"/>
      <c r="AE59" s="16"/>
      <c r="AF59" s="16"/>
      <c r="AG59" s="16"/>
      <c r="AH59" s="16"/>
      <c r="AI59" s="16"/>
      <c r="AJ59" s="16"/>
      <c r="AK59" s="16"/>
      <c r="AL59" s="16"/>
      <c r="AM59" s="16"/>
      <c r="AN59" s="16"/>
      <c r="AO59" s="16"/>
      <c r="AP59" s="16"/>
      <c r="AQ59" s="16"/>
    </row>
    <row r="60" customFormat="false" ht="31.3" hidden="false" customHeight="true" outlineLevel="0" collapsed="false">
      <c r="A60" s="17"/>
      <c r="B60" s="68" t="s">
        <v>194</v>
      </c>
      <c r="C60" s="58" t="s">
        <v>195</v>
      </c>
      <c r="D60" s="69"/>
      <c r="E60" s="69"/>
      <c r="F60" s="69"/>
      <c r="G60" s="69" t="n">
        <v>1</v>
      </c>
      <c r="H60" s="58" t="s">
        <v>196</v>
      </c>
      <c r="I60" s="69"/>
      <c r="J60" s="69"/>
      <c r="K60" s="69"/>
      <c r="L60" s="69" t="n">
        <v>1</v>
      </c>
      <c r="M60" s="58" t="s">
        <v>197</v>
      </c>
      <c r="N60" s="69"/>
      <c r="O60" s="69"/>
      <c r="P60" s="69"/>
      <c r="Q60" s="69" t="n">
        <v>1</v>
      </c>
      <c r="R60" s="58" t="s">
        <v>198</v>
      </c>
      <c r="S60" s="69"/>
      <c r="T60" s="69"/>
      <c r="U60" s="69"/>
      <c r="V60" s="69" t="n">
        <v>1</v>
      </c>
      <c r="W60" s="16"/>
      <c r="X60" s="16"/>
      <c r="Y60" s="16"/>
      <c r="Z60" s="16"/>
      <c r="AA60" s="16"/>
      <c r="AB60" s="16"/>
      <c r="AC60" s="16"/>
      <c r="AD60" s="16"/>
      <c r="AE60" s="16"/>
      <c r="AF60" s="16"/>
      <c r="AG60" s="16"/>
      <c r="AH60" s="16"/>
      <c r="AI60" s="16"/>
      <c r="AJ60" s="16"/>
      <c r="AK60" s="16"/>
      <c r="AL60" s="16"/>
      <c r="AM60" s="16"/>
      <c r="AN60" s="16"/>
      <c r="AO60" s="16"/>
      <c r="AP60" s="16"/>
      <c r="AQ60" s="16"/>
    </row>
    <row r="61" customFormat="false" ht="31.3" hidden="false" customHeight="false" outlineLevel="0" collapsed="false">
      <c r="A61" s="17"/>
      <c r="B61" s="17"/>
      <c r="C61" s="58" t="s">
        <v>199</v>
      </c>
      <c r="D61" s="69"/>
      <c r="E61" s="69"/>
      <c r="F61" s="69"/>
      <c r="G61" s="69" t="n">
        <v>1</v>
      </c>
      <c r="H61" s="58" t="s">
        <v>200</v>
      </c>
      <c r="I61" s="69"/>
      <c r="J61" s="69"/>
      <c r="K61" s="69"/>
      <c r="L61" s="69" t="n">
        <v>1</v>
      </c>
      <c r="M61" s="58" t="s">
        <v>201</v>
      </c>
      <c r="N61" s="69"/>
      <c r="O61" s="69"/>
      <c r="P61" s="69"/>
      <c r="Q61" s="69" t="n">
        <v>1</v>
      </c>
      <c r="R61" s="70" t="s">
        <v>202</v>
      </c>
      <c r="S61" s="69"/>
      <c r="T61" s="69"/>
      <c r="U61" s="69"/>
      <c r="V61" s="69" t="n">
        <v>1</v>
      </c>
      <c r="W61" s="16"/>
      <c r="X61" s="16"/>
      <c r="Y61" s="16"/>
      <c r="Z61" s="16"/>
      <c r="AA61" s="16"/>
      <c r="AB61" s="16"/>
      <c r="AC61" s="16"/>
      <c r="AD61" s="16"/>
      <c r="AE61" s="16"/>
      <c r="AF61" s="16"/>
      <c r="AG61" s="16"/>
      <c r="AH61" s="16"/>
      <c r="AI61" s="16"/>
      <c r="AJ61" s="16"/>
      <c r="AK61" s="16"/>
      <c r="AL61" s="16"/>
      <c r="AM61" s="16"/>
      <c r="AN61" s="16"/>
      <c r="AO61" s="16"/>
      <c r="AP61" s="16"/>
      <c r="AQ61" s="16"/>
    </row>
    <row r="62" customFormat="false" ht="31.3" hidden="false" customHeight="false" outlineLevel="0" collapsed="false">
      <c r="A62" s="17"/>
      <c r="B62" s="17"/>
      <c r="C62" s="71"/>
      <c r="D62" s="71"/>
      <c r="E62" s="71"/>
      <c r="F62" s="71"/>
      <c r="G62" s="71"/>
      <c r="H62" s="58" t="s">
        <v>203</v>
      </c>
      <c r="I62" s="69"/>
      <c r="J62" s="69"/>
      <c r="K62" s="69"/>
      <c r="L62" s="69" t="n">
        <v>1</v>
      </c>
      <c r="M62" s="58" t="s">
        <v>204</v>
      </c>
      <c r="N62" s="69"/>
      <c r="O62" s="69"/>
      <c r="P62" s="69"/>
      <c r="Q62" s="69" t="n">
        <v>1</v>
      </c>
      <c r="R62" s="58" t="s">
        <v>205</v>
      </c>
      <c r="S62" s="69"/>
      <c r="T62" s="69"/>
      <c r="U62" s="69"/>
      <c r="V62" s="69" t="n">
        <v>1</v>
      </c>
      <c r="W62" s="16"/>
      <c r="X62" s="16"/>
      <c r="Y62" s="16"/>
      <c r="Z62" s="16"/>
      <c r="AA62" s="16"/>
      <c r="AB62" s="16"/>
      <c r="AC62" s="16"/>
      <c r="AD62" s="16"/>
      <c r="AE62" s="16"/>
      <c r="AF62" s="16"/>
      <c r="AG62" s="16"/>
      <c r="AH62" s="16"/>
      <c r="AI62" s="16"/>
      <c r="AJ62" s="16"/>
      <c r="AK62" s="16"/>
      <c r="AL62" s="16"/>
      <c r="AM62" s="16"/>
      <c r="AN62" s="16"/>
      <c r="AO62" s="16"/>
      <c r="AP62" s="16"/>
      <c r="AQ62" s="16"/>
    </row>
    <row r="63" customFormat="false" ht="46.25" hidden="false" customHeight="false" outlineLevel="0" collapsed="false">
      <c r="A63" s="17"/>
      <c r="B63" s="17"/>
      <c r="C63" s="17"/>
      <c r="D63" s="71"/>
      <c r="E63" s="71"/>
      <c r="F63" s="71"/>
      <c r="G63" s="71"/>
      <c r="H63" s="71"/>
      <c r="I63" s="71"/>
      <c r="J63" s="71"/>
      <c r="K63" s="71"/>
      <c r="L63" s="71"/>
      <c r="M63" s="71"/>
      <c r="N63" s="71"/>
      <c r="O63" s="71"/>
      <c r="P63" s="71"/>
      <c r="Q63" s="71"/>
      <c r="R63" s="58" t="s">
        <v>206</v>
      </c>
      <c r="S63" s="69"/>
      <c r="T63" s="69"/>
      <c r="U63" s="69"/>
      <c r="V63" s="69" t="n">
        <v>1</v>
      </c>
      <c r="W63" s="16"/>
      <c r="X63" s="16"/>
      <c r="Y63" s="16"/>
      <c r="Z63" s="16"/>
      <c r="AA63" s="16"/>
      <c r="AB63" s="16"/>
      <c r="AC63" s="16"/>
      <c r="AD63" s="16"/>
      <c r="AE63" s="16"/>
      <c r="AF63" s="16"/>
      <c r="AG63" s="16"/>
      <c r="AH63" s="16"/>
      <c r="AI63" s="16"/>
      <c r="AJ63" s="16"/>
      <c r="AK63" s="16"/>
      <c r="AL63" s="16"/>
      <c r="AM63" s="16"/>
      <c r="AN63" s="16"/>
      <c r="AO63" s="16"/>
      <c r="AP63" s="16"/>
      <c r="AQ63" s="16"/>
    </row>
    <row r="64" customFormat="false" ht="15.75" hidden="false" customHeight="false" outlineLevel="0" collapsed="false">
      <c r="A64" s="17"/>
      <c r="B64" s="17"/>
      <c r="C64" s="17"/>
      <c r="D64" s="71"/>
      <c r="E64" s="71"/>
      <c r="F64" s="71"/>
      <c r="G64" s="71"/>
      <c r="H64" s="71"/>
      <c r="I64" s="71"/>
      <c r="J64" s="71"/>
      <c r="K64" s="71"/>
      <c r="L64" s="71"/>
      <c r="M64" s="71"/>
      <c r="N64" s="71"/>
      <c r="O64" s="71"/>
      <c r="P64" s="71"/>
      <c r="Q64" s="71"/>
      <c r="R64" s="71"/>
      <c r="S64" s="71"/>
      <c r="T64" s="71"/>
      <c r="U64" s="71"/>
      <c r="V64" s="71"/>
      <c r="W64" s="16"/>
      <c r="X64" s="16"/>
      <c r="Y64" s="16"/>
      <c r="Z64" s="16"/>
      <c r="AA64" s="16"/>
      <c r="AB64" s="16"/>
      <c r="AC64" s="16"/>
      <c r="AD64" s="16"/>
      <c r="AE64" s="16"/>
      <c r="AF64" s="16"/>
      <c r="AG64" s="16"/>
      <c r="AH64" s="16"/>
      <c r="AI64" s="16"/>
      <c r="AJ64" s="16"/>
      <c r="AK64" s="16"/>
      <c r="AL64" s="16"/>
      <c r="AM64" s="16"/>
      <c r="AN64" s="16"/>
      <c r="AO64" s="16"/>
      <c r="AP64" s="16"/>
      <c r="AQ64" s="16"/>
    </row>
    <row r="65" customFormat="false" ht="15.75" hidden="false" customHeight="true" outlineLevel="0" collapsed="false">
      <c r="A65" s="17"/>
      <c r="B65" s="34" t="s">
        <v>88</v>
      </c>
      <c r="C65" s="34"/>
      <c r="D65" s="66" t="e">
        <f aca="false">IF( AND(COUNT(D60:G60)=1,COUNT(D61:G61)=1), (SUM(F60:F61) + (SUM(E60:E61)/2)) / COUNTBLANK(G60:G61), "Error - check cell values")</f>
        <v>#DIV/0!</v>
      </c>
      <c r="E65" s="66"/>
      <c r="F65" s="51" t="n">
        <f aca="false">COUNTBLANK(G60:G61)</f>
        <v>0</v>
      </c>
      <c r="G65" s="51" t="n">
        <f aca="false">ROWS(G60:G61)</f>
        <v>2</v>
      </c>
      <c r="H65" s="52" t="s">
        <v>88</v>
      </c>
      <c r="I65" s="66" t="e">
        <f aca="false">IF( AND(COUNT(I60:L60)=1,COUNT(I61:L61)=1,COUNT(I62:L62)=1), (SUM(K60:K62) + (SUM(J60:J62)/2)) / COUNTBLANK(L60:L62), "Error - check cell values")</f>
        <v>#DIV/0!</v>
      </c>
      <c r="J65" s="66"/>
      <c r="K65" s="51" t="n">
        <f aca="false">COUNTBLANK(L60:L62)</f>
        <v>0</v>
      </c>
      <c r="L65" s="51" t="n">
        <f aca="false">ROWS(L60:L62)</f>
        <v>3</v>
      </c>
      <c r="M65" s="52" t="s">
        <v>88</v>
      </c>
      <c r="N65" s="66" t="e">
        <f aca="false">IF( AND(COUNT(N60:Q60)=1,COUNT(N61:Q61)=1,COUNT(N62:Q62)=1), (SUM(P60:P62) + (SUM(O60:O62)/2)) / COUNTBLANK(Q60:Q62), "Error - check cell values")</f>
        <v>#DIV/0!</v>
      </c>
      <c r="O65" s="66"/>
      <c r="P65" s="51" t="n">
        <f aca="false">COUNTBLANK(Q60:Q62)</f>
        <v>0</v>
      </c>
      <c r="Q65" s="51" t="n">
        <f aca="false">ROWS(Q60:Q62)</f>
        <v>3</v>
      </c>
      <c r="R65" s="52" t="s">
        <v>88</v>
      </c>
      <c r="S65" s="66" t="e">
        <f aca="false">IF( AND(COUNT(S60:V60)=1,COUNT(S61:V61)=1,COUNT(S62:V62)=1,COUNT(S63:V63)=1), (SUM(U60:U63) + (SUM(T60:T63)/2)) / COUNTBLANK(V60:V63), "Error - check cell values")</f>
        <v>#DIV/0!</v>
      </c>
      <c r="T65" s="66"/>
      <c r="U65" s="51" t="n">
        <f aca="false">COUNTBLANK(V60:V63)</f>
        <v>0</v>
      </c>
      <c r="V65" s="51" t="n">
        <f aca="false">ROWS(V60:V63)</f>
        <v>4</v>
      </c>
      <c r="W65" s="22"/>
      <c r="X65" s="22"/>
      <c r="Y65" s="22"/>
      <c r="Z65" s="22"/>
      <c r="AA65" s="22"/>
      <c r="AB65" s="22"/>
      <c r="AC65" s="22"/>
      <c r="AD65" s="22"/>
      <c r="AE65" s="22"/>
      <c r="AF65" s="22"/>
      <c r="AG65" s="22"/>
      <c r="AH65" s="22"/>
      <c r="AI65" s="22"/>
      <c r="AJ65" s="22"/>
      <c r="AK65" s="22"/>
      <c r="AL65" s="22"/>
      <c r="AM65" s="22"/>
      <c r="AN65" s="22"/>
      <c r="AO65" s="22"/>
      <c r="AP65" s="22"/>
      <c r="AQ65" s="22"/>
    </row>
    <row r="66" customFormat="false" ht="41.75" hidden="false" customHeight="false" outlineLevel="0" collapsed="false">
      <c r="A66" s="17"/>
      <c r="B66" s="54"/>
      <c r="C66" s="54"/>
      <c r="D66" s="38" t="s">
        <v>77</v>
      </c>
      <c r="E66" s="38" t="s">
        <v>89</v>
      </c>
      <c r="F66" s="38" t="s">
        <v>78</v>
      </c>
      <c r="G66" s="38" t="s">
        <v>90</v>
      </c>
      <c r="H66" s="39"/>
      <c r="I66" s="38" t="s">
        <v>77</v>
      </c>
      <c r="J66" s="38" t="s">
        <v>89</v>
      </c>
      <c r="K66" s="38" t="s">
        <v>78</v>
      </c>
      <c r="L66" s="38" t="s">
        <v>90</v>
      </c>
      <c r="M66" s="39"/>
      <c r="N66" s="38" t="s">
        <v>77</v>
      </c>
      <c r="O66" s="38" t="s">
        <v>89</v>
      </c>
      <c r="P66" s="38" t="s">
        <v>78</v>
      </c>
      <c r="Q66" s="38" t="s">
        <v>90</v>
      </c>
      <c r="R66" s="39"/>
      <c r="S66" s="38" t="s">
        <v>77</v>
      </c>
      <c r="T66" s="38" t="s">
        <v>89</v>
      </c>
      <c r="U66" s="38" t="s">
        <v>78</v>
      </c>
      <c r="V66" s="38" t="s">
        <v>90</v>
      </c>
      <c r="W66" s="16"/>
      <c r="X66" s="16"/>
      <c r="Y66" s="16"/>
      <c r="Z66" s="16"/>
      <c r="AA66" s="16"/>
      <c r="AB66" s="16"/>
      <c r="AC66" s="16"/>
      <c r="AD66" s="16"/>
      <c r="AE66" s="16"/>
      <c r="AF66" s="16"/>
      <c r="AG66" s="16"/>
      <c r="AH66" s="16"/>
      <c r="AI66" s="16"/>
      <c r="AJ66" s="16"/>
      <c r="AK66" s="16"/>
      <c r="AL66" s="16"/>
      <c r="AM66" s="16"/>
      <c r="AN66" s="16"/>
      <c r="AO66" s="16"/>
      <c r="AP66" s="16"/>
      <c r="AQ66" s="16"/>
    </row>
    <row r="67" customFormat="false" ht="41.75" hidden="false" customHeight="true" outlineLevel="0" collapsed="false">
      <c r="A67" s="17"/>
      <c r="B67" s="68" t="s">
        <v>207</v>
      </c>
      <c r="C67" s="32" t="s">
        <v>208</v>
      </c>
      <c r="D67" s="72"/>
      <c r="E67" s="72"/>
      <c r="F67" s="72"/>
      <c r="G67" s="72" t="n">
        <v>1</v>
      </c>
      <c r="H67" s="32" t="s">
        <v>209</v>
      </c>
      <c r="I67" s="72"/>
      <c r="J67" s="72"/>
      <c r="K67" s="72"/>
      <c r="L67" s="72" t="n">
        <v>1</v>
      </c>
      <c r="M67" s="32" t="s">
        <v>210</v>
      </c>
      <c r="N67" s="72"/>
      <c r="O67" s="72"/>
      <c r="P67" s="72"/>
      <c r="Q67" s="72" t="n">
        <v>1</v>
      </c>
      <c r="R67" s="32" t="s">
        <v>211</v>
      </c>
      <c r="S67" s="72"/>
      <c r="T67" s="72"/>
      <c r="U67" s="72"/>
      <c r="V67" s="72" t="n">
        <v>1</v>
      </c>
      <c r="W67" s="16"/>
      <c r="X67" s="16"/>
      <c r="Y67" s="16"/>
      <c r="Z67" s="16"/>
      <c r="AA67" s="16"/>
      <c r="AB67" s="16"/>
      <c r="AC67" s="16"/>
      <c r="AD67" s="16"/>
      <c r="AE67" s="16"/>
      <c r="AF67" s="16"/>
      <c r="AG67" s="16"/>
      <c r="AH67" s="16"/>
      <c r="AI67" s="16"/>
      <c r="AJ67" s="16"/>
      <c r="AK67" s="16"/>
      <c r="AL67" s="16"/>
      <c r="AM67" s="16"/>
      <c r="AN67" s="16"/>
      <c r="AO67" s="16"/>
      <c r="AP67" s="16"/>
      <c r="AQ67" s="16"/>
    </row>
    <row r="68" customFormat="false" ht="55.2" hidden="false" customHeight="false" outlineLevel="0" collapsed="false">
      <c r="A68" s="17"/>
      <c r="B68" s="17"/>
      <c r="C68" s="32" t="s">
        <v>212</v>
      </c>
      <c r="D68" s="72"/>
      <c r="E68" s="72"/>
      <c r="F68" s="72"/>
      <c r="G68" s="72" t="n">
        <v>1</v>
      </c>
      <c r="H68" s="32" t="s">
        <v>213</v>
      </c>
      <c r="I68" s="72"/>
      <c r="J68" s="72"/>
      <c r="K68" s="72"/>
      <c r="L68" s="72" t="n">
        <v>1</v>
      </c>
      <c r="M68" s="32" t="s">
        <v>214</v>
      </c>
      <c r="N68" s="72"/>
      <c r="O68" s="72"/>
      <c r="P68" s="72"/>
      <c r="Q68" s="72" t="n">
        <v>1</v>
      </c>
      <c r="R68" s="32" t="s">
        <v>215</v>
      </c>
      <c r="S68" s="72"/>
      <c r="T68" s="72"/>
      <c r="U68" s="72"/>
      <c r="V68" s="72" t="n">
        <v>1</v>
      </c>
      <c r="W68" s="16"/>
      <c r="X68" s="16"/>
      <c r="Y68" s="16"/>
      <c r="Z68" s="16"/>
      <c r="AA68" s="16"/>
      <c r="AB68" s="16"/>
      <c r="AC68" s="16"/>
      <c r="AD68" s="16"/>
      <c r="AE68" s="16"/>
      <c r="AF68" s="16"/>
      <c r="AG68" s="16"/>
      <c r="AH68" s="16"/>
      <c r="AI68" s="16"/>
      <c r="AJ68" s="16"/>
      <c r="AK68" s="16"/>
      <c r="AL68" s="16"/>
      <c r="AM68" s="16"/>
      <c r="AN68" s="16"/>
      <c r="AO68" s="16"/>
      <c r="AP68" s="16"/>
      <c r="AQ68" s="16"/>
    </row>
    <row r="69" customFormat="false" ht="55.2" hidden="false" customHeight="false" outlineLevel="0" collapsed="false">
      <c r="A69" s="17"/>
      <c r="B69" s="17"/>
      <c r="C69" s="73"/>
      <c r="D69" s="73"/>
      <c r="E69" s="73"/>
      <c r="F69" s="73"/>
      <c r="G69" s="73"/>
      <c r="H69" s="73"/>
      <c r="I69" s="73"/>
      <c r="J69" s="73"/>
      <c r="K69" s="73"/>
      <c r="L69" s="73"/>
      <c r="M69" s="32" t="s">
        <v>216</v>
      </c>
      <c r="N69" s="72"/>
      <c r="O69" s="72"/>
      <c r="P69" s="72"/>
      <c r="Q69" s="72" t="n">
        <v>1</v>
      </c>
      <c r="R69" s="32" t="s">
        <v>217</v>
      </c>
      <c r="S69" s="72"/>
      <c r="T69" s="72"/>
      <c r="U69" s="72"/>
      <c r="V69" s="72" t="n">
        <v>1</v>
      </c>
      <c r="W69" s="16"/>
      <c r="X69" s="16"/>
      <c r="Y69" s="16"/>
      <c r="Z69" s="16"/>
      <c r="AA69" s="16"/>
      <c r="AB69" s="16"/>
      <c r="AC69" s="16"/>
      <c r="AD69" s="16"/>
      <c r="AE69" s="16"/>
      <c r="AF69" s="16"/>
      <c r="AG69" s="16"/>
      <c r="AH69" s="16"/>
      <c r="AI69" s="16"/>
      <c r="AJ69" s="16"/>
      <c r="AK69" s="16"/>
      <c r="AL69" s="16"/>
      <c r="AM69" s="16"/>
      <c r="AN69" s="16"/>
      <c r="AO69" s="16"/>
      <c r="AP69" s="16"/>
      <c r="AQ69" s="16"/>
    </row>
    <row r="70" customFormat="false" ht="28.35" hidden="false" customHeight="false" outlineLevel="0" collapsed="false">
      <c r="A70" s="17"/>
      <c r="B70" s="17"/>
      <c r="C70" s="17"/>
      <c r="D70" s="73"/>
      <c r="E70" s="73"/>
      <c r="F70" s="73"/>
      <c r="G70" s="73"/>
      <c r="H70" s="73"/>
      <c r="I70" s="73"/>
      <c r="J70" s="73"/>
      <c r="K70" s="73"/>
      <c r="L70" s="73"/>
      <c r="M70" s="32" t="s">
        <v>218</v>
      </c>
      <c r="N70" s="72"/>
      <c r="O70" s="72"/>
      <c r="P70" s="72"/>
      <c r="Q70" s="72" t="n">
        <v>1</v>
      </c>
      <c r="R70" s="32" t="s">
        <v>219</v>
      </c>
      <c r="S70" s="72"/>
      <c r="T70" s="72"/>
      <c r="U70" s="72"/>
      <c r="V70" s="72" t="n">
        <v>1</v>
      </c>
      <c r="W70" s="16"/>
      <c r="X70" s="16"/>
      <c r="Y70" s="16"/>
      <c r="Z70" s="16"/>
      <c r="AA70" s="16"/>
      <c r="AB70" s="16"/>
      <c r="AC70" s="16"/>
      <c r="AD70" s="16"/>
      <c r="AE70" s="16"/>
      <c r="AF70" s="16"/>
      <c r="AG70" s="16"/>
      <c r="AH70" s="16"/>
      <c r="AI70" s="16"/>
      <c r="AJ70" s="16"/>
      <c r="AK70" s="16"/>
      <c r="AL70" s="16"/>
      <c r="AM70" s="16"/>
      <c r="AN70" s="16"/>
      <c r="AO70" s="16"/>
      <c r="AP70" s="16"/>
      <c r="AQ70" s="16"/>
    </row>
    <row r="71" customFormat="false" ht="15.75" hidden="false" customHeight="true" outlineLevel="0" collapsed="false">
      <c r="A71" s="52"/>
      <c r="B71" s="34" t="s">
        <v>88</v>
      </c>
      <c r="C71" s="34"/>
      <c r="D71" s="50" t="e">
        <f aca="false">IF( AND(COUNT(D67:G67)=1,COUNT(D68:G68)=1), (SUM(F67:F68) + (SUM(E67:E68)/2)) / COUNTBLANK(G67:G68), "Error - check cell values")</f>
        <v>#DIV/0!</v>
      </c>
      <c r="E71" s="50"/>
      <c r="F71" s="51" t="n">
        <f aca="false">COUNTBLANK(G67:G68)</f>
        <v>0</v>
      </c>
      <c r="G71" s="51" t="n">
        <f aca="false">ROWS(G67:G68)</f>
        <v>2</v>
      </c>
      <c r="H71" s="52" t="s">
        <v>88</v>
      </c>
      <c r="I71" s="50" t="e">
        <f aca="false">IF( AND(COUNT(I67:L67)=1,COUNT(I68:L68)=1), (SUM(K67:K68) + (SUM(J67:J68)/2)) / COUNTBLANK(L67:L68), "Error - check cell values")</f>
        <v>#DIV/0!</v>
      </c>
      <c r="J71" s="50"/>
      <c r="K71" s="51" t="n">
        <f aca="false">COUNTBLANK(L67:L68)</f>
        <v>0</v>
      </c>
      <c r="L71" s="51" t="n">
        <f aca="false">ROWS(L67:L68)</f>
        <v>2</v>
      </c>
      <c r="M71" s="52" t="s">
        <v>88</v>
      </c>
      <c r="N71" s="50" t="e">
        <f aca="false">IF( AND(COUNT(N67:Q67)=1,COUNT(N68:Q68)=1,COUNT(N69:Q69)=1,COUNT(N70:Q70)=1), (SUM(P67:P70) + (SUM(O67:O70)/2)) / COUNTBLANK(Q67:Q70), "Error - check cell values")</f>
        <v>#DIV/0!</v>
      </c>
      <c r="O71" s="50"/>
      <c r="P71" s="51" t="n">
        <f aca="false">COUNTBLANK(Q67:Q70)</f>
        <v>0</v>
      </c>
      <c r="Q71" s="51" t="n">
        <f aca="false">ROWS(Q67:Q70)</f>
        <v>4</v>
      </c>
      <c r="R71" s="52" t="s">
        <v>88</v>
      </c>
      <c r="S71" s="50" t="e">
        <f aca="false">IF( AND(COUNT(S67:V67)=1,COUNT(S68:V68)=1,COUNT(S69:V69)=1,COUNT(S70:V70)=1), (SUM(U67:U70) + (SUM(T67:T70)/2)) / COUNTBLANK(V67:V70), "Error - check cell values")</f>
        <v>#DIV/0!</v>
      </c>
      <c r="T71" s="50"/>
      <c r="U71" s="51" t="n">
        <f aca="false">COUNTBLANK(V67:V70)</f>
        <v>0</v>
      </c>
      <c r="V71" s="51" t="n">
        <f aca="false">ROWS(V67:V70)</f>
        <v>4</v>
      </c>
      <c r="W71" s="22"/>
      <c r="X71" s="22"/>
      <c r="Y71" s="22"/>
      <c r="Z71" s="22"/>
      <c r="AA71" s="22"/>
      <c r="AB71" s="22"/>
      <c r="AC71" s="22"/>
      <c r="AD71" s="22"/>
      <c r="AE71" s="22"/>
      <c r="AF71" s="22"/>
      <c r="AG71" s="22"/>
      <c r="AH71" s="22"/>
      <c r="AI71" s="22"/>
      <c r="AJ71" s="22"/>
      <c r="AK71" s="22"/>
      <c r="AL71" s="22"/>
      <c r="AM71" s="22"/>
      <c r="AN71" s="22"/>
      <c r="AO71" s="22"/>
      <c r="AP71" s="22"/>
      <c r="AQ71" s="22"/>
    </row>
    <row r="72" customFormat="false" ht="61.15" hidden="false" customHeight="false" outlineLevel="0" collapsed="false">
      <c r="A72" s="74"/>
      <c r="B72" s="75"/>
      <c r="C72" s="75"/>
      <c r="D72" s="74" t="s">
        <v>77</v>
      </c>
      <c r="E72" s="74" t="s">
        <v>89</v>
      </c>
      <c r="F72" s="74" t="s">
        <v>78</v>
      </c>
      <c r="G72" s="74" t="s">
        <v>90</v>
      </c>
      <c r="H72" s="76"/>
      <c r="I72" s="74" t="s">
        <v>77</v>
      </c>
      <c r="J72" s="74" t="s">
        <v>89</v>
      </c>
      <c r="K72" s="74" t="s">
        <v>78</v>
      </c>
      <c r="L72" s="74" t="s">
        <v>90</v>
      </c>
      <c r="M72" s="76"/>
      <c r="N72" s="74" t="s">
        <v>77</v>
      </c>
      <c r="O72" s="74" t="s">
        <v>89</v>
      </c>
      <c r="P72" s="74" t="s">
        <v>78</v>
      </c>
      <c r="Q72" s="74" t="s">
        <v>90</v>
      </c>
      <c r="R72" s="76"/>
      <c r="S72" s="74" t="s">
        <v>77</v>
      </c>
      <c r="T72" s="74" t="s">
        <v>89</v>
      </c>
      <c r="U72" s="74" t="s">
        <v>78</v>
      </c>
      <c r="V72" s="74" t="s">
        <v>90</v>
      </c>
      <c r="W72" s="16"/>
      <c r="X72" s="16"/>
      <c r="Y72" s="16"/>
      <c r="Z72" s="16"/>
      <c r="AA72" s="16"/>
      <c r="AB72" s="16"/>
      <c r="AC72" s="16"/>
      <c r="AD72" s="16"/>
      <c r="AE72" s="16"/>
      <c r="AF72" s="16"/>
      <c r="AG72" s="16"/>
      <c r="AH72" s="16"/>
      <c r="AI72" s="16"/>
      <c r="AJ72" s="16"/>
      <c r="AK72" s="16"/>
      <c r="AL72" s="16"/>
      <c r="AM72" s="16"/>
      <c r="AN72" s="16"/>
      <c r="AO72" s="16"/>
      <c r="AP72" s="16"/>
      <c r="AQ72" s="16"/>
    </row>
    <row r="73" customFormat="false" ht="55.2" hidden="false" customHeight="true" outlineLevel="0" collapsed="false">
      <c r="A73" s="17" t="s">
        <v>220</v>
      </c>
      <c r="B73" s="40" t="s">
        <v>221</v>
      </c>
      <c r="C73" s="26" t="s">
        <v>222</v>
      </c>
      <c r="D73" s="22"/>
      <c r="E73" s="22"/>
      <c r="F73" s="22"/>
      <c r="G73" s="22" t="n">
        <v>1</v>
      </c>
      <c r="H73" s="26" t="s">
        <v>223</v>
      </c>
      <c r="I73" s="22"/>
      <c r="J73" s="22"/>
      <c r="K73" s="22"/>
      <c r="L73" s="22" t="n">
        <v>1</v>
      </c>
      <c r="M73" s="26" t="s">
        <v>224</v>
      </c>
      <c r="N73" s="22"/>
      <c r="O73" s="22"/>
      <c r="Q73" s="22" t="n">
        <v>1</v>
      </c>
      <c r="R73" s="26" t="s">
        <v>225</v>
      </c>
      <c r="S73" s="22"/>
      <c r="T73" s="22"/>
      <c r="U73" s="22"/>
      <c r="V73" s="22" t="n">
        <v>1</v>
      </c>
      <c r="W73" s="16"/>
      <c r="X73" s="16"/>
      <c r="Y73" s="16"/>
      <c r="Z73" s="16"/>
      <c r="AA73" s="16"/>
      <c r="AB73" s="16"/>
      <c r="AC73" s="16"/>
      <c r="AD73" s="16"/>
      <c r="AE73" s="16"/>
      <c r="AF73" s="16"/>
      <c r="AG73" s="16"/>
      <c r="AH73" s="16"/>
      <c r="AI73" s="16"/>
      <c r="AJ73" s="16"/>
      <c r="AK73" s="16"/>
      <c r="AL73" s="16"/>
      <c r="AM73" s="16"/>
      <c r="AN73" s="16"/>
      <c r="AO73" s="16"/>
      <c r="AP73" s="16"/>
      <c r="AQ73" s="16"/>
    </row>
    <row r="74" customFormat="false" ht="55.2" hidden="false" customHeight="false" outlineLevel="0" collapsed="false">
      <c r="A74" s="17"/>
      <c r="B74" s="17"/>
      <c r="C74" s="26" t="s">
        <v>226</v>
      </c>
      <c r="D74" s="22"/>
      <c r="E74" s="22"/>
      <c r="F74" s="22"/>
      <c r="G74" s="22" t="n">
        <v>1</v>
      </c>
      <c r="H74" s="26" t="s">
        <v>227</v>
      </c>
      <c r="I74" s="22"/>
      <c r="J74" s="22"/>
      <c r="K74" s="22"/>
      <c r="L74" s="22" t="n">
        <v>1</v>
      </c>
      <c r="M74" s="26" t="s">
        <v>228</v>
      </c>
      <c r="N74" s="22"/>
      <c r="O74" s="22"/>
      <c r="Q74" s="22" t="n">
        <v>1</v>
      </c>
      <c r="R74" s="26" t="s">
        <v>229</v>
      </c>
      <c r="S74" s="22"/>
      <c r="T74" s="22"/>
      <c r="U74" s="22"/>
      <c r="V74" s="22" t="n">
        <v>1</v>
      </c>
      <c r="W74" s="16"/>
      <c r="X74" s="16"/>
      <c r="Y74" s="16"/>
      <c r="Z74" s="16"/>
      <c r="AA74" s="16"/>
      <c r="AB74" s="16"/>
      <c r="AC74" s="16"/>
      <c r="AD74" s="16"/>
      <c r="AE74" s="16"/>
      <c r="AF74" s="16"/>
      <c r="AG74" s="16"/>
      <c r="AH74" s="16"/>
      <c r="AI74" s="16"/>
      <c r="AJ74" s="16"/>
      <c r="AK74" s="16"/>
      <c r="AL74" s="16"/>
      <c r="AM74" s="16"/>
      <c r="AN74" s="16"/>
      <c r="AO74" s="16"/>
      <c r="AP74" s="16"/>
      <c r="AQ74" s="16"/>
    </row>
    <row r="75" customFormat="false" ht="55.2" hidden="false" customHeight="false" outlineLevel="0" collapsed="false">
      <c r="A75" s="17"/>
      <c r="B75" s="17"/>
      <c r="C75" s="26" t="s">
        <v>230</v>
      </c>
      <c r="D75" s="22"/>
      <c r="E75" s="22"/>
      <c r="F75" s="22"/>
      <c r="G75" s="22" t="n">
        <v>1</v>
      </c>
      <c r="H75" s="26" t="s">
        <v>231</v>
      </c>
      <c r="I75" s="22"/>
      <c r="J75" s="22"/>
      <c r="K75" s="22"/>
      <c r="L75" s="22" t="n">
        <v>1</v>
      </c>
      <c r="M75" s="26" t="s">
        <v>232</v>
      </c>
      <c r="N75" s="22"/>
      <c r="O75" s="22"/>
      <c r="Q75" s="22" t="n">
        <v>1</v>
      </c>
      <c r="R75" s="26" t="s">
        <v>233</v>
      </c>
      <c r="S75" s="22"/>
      <c r="T75" s="22"/>
      <c r="U75" s="22"/>
      <c r="V75" s="22" t="n">
        <v>1</v>
      </c>
      <c r="W75" s="16"/>
      <c r="X75" s="16"/>
      <c r="Y75" s="16"/>
      <c r="Z75" s="16"/>
      <c r="AA75" s="16"/>
      <c r="AB75" s="16"/>
      <c r="AC75" s="16"/>
      <c r="AD75" s="16"/>
      <c r="AE75" s="16"/>
      <c r="AF75" s="16"/>
      <c r="AG75" s="16"/>
      <c r="AH75" s="16"/>
      <c r="AI75" s="16"/>
      <c r="AJ75" s="16"/>
      <c r="AK75" s="16"/>
      <c r="AL75" s="16"/>
      <c r="AM75" s="16"/>
      <c r="AN75" s="16"/>
      <c r="AO75" s="16"/>
      <c r="AP75" s="16"/>
      <c r="AQ75" s="16"/>
    </row>
    <row r="76" customFormat="false" ht="68.65" hidden="false" customHeight="false" outlineLevel="0" collapsed="false">
      <c r="A76" s="17"/>
      <c r="B76" s="17"/>
      <c r="C76" s="26" t="s">
        <v>234</v>
      </c>
      <c r="D76" s="22"/>
      <c r="E76" s="22"/>
      <c r="F76" s="22"/>
      <c r="G76" s="22" t="n">
        <v>1</v>
      </c>
      <c r="H76" s="26" t="s">
        <v>235</v>
      </c>
      <c r="I76" s="22"/>
      <c r="J76" s="22"/>
      <c r="K76" s="22"/>
      <c r="L76" s="22" t="n">
        <v>1</v>
      </c>
      <c r="M76" s="26" t="s">
        <v>236</v>
      </c>
      <c r="N76" s="22"/>
      <c r="O76" s="22"/>
      <c r="Q76" s="22" t="n">
        <v>1</v>
      </c>
      <c r="R76" s="26" t="s">
        <v>237</v>
      </c>
      <c r="S76" s="22"/>
      <c r="T76" s="22"/>
      <c r="U76" s="22"/>
      <c r="V76" s="22" t="n">
        <v>1</v>
      </c>
      <c r="W76" s="16"/>
      <c r="X76" s="16"/>
      <c r="Y76" s="16"/>
      <c r="Z76" s="16"/>
      <c r="AA76" s="16"/>
      <c r="AB76" s="16"/>
      <c r="AC76" s="16"/>
      <c r="AD76" s="16"/>
      <c r="AE76" s="16"/>
      <c r="AF76" s="16"/>
      <c r="AG76" s="16"/>
      <c r="AH76" s="16"/>
      <c r="AI76" s="16"/>
      <c r="AJ76" s="16"/>
      <c r="AK76" s="16"/>
      <c r="AL76" s="16"/>
      <c r="AM76" s="16"/>
      <c r="AN76" s="16"/>
      <c r="AO76" s="16"/>
      <c r="AP76" s="16"/>
      <c r="AQ76" s="16"/>
    </row>
    <row r="77" customFormat="false" ht="82.05" hidden="false" customHeight="false" outlineLevel="0" collapsed="false">
      <c r="A77" s="17"/>
      <c r="B77" s="17"/>
      <c r="C77" s="26" t="s">
        <v>238</v>
      </c>
      <c r="D77" s="22"/>
      <c r="E77" s="22"/>
      <c r="F77" s="22"/>
      <c r="G77" s="22" t="n">
        <v>1</v>
      </c>
      <c r="H77" s="26" t="s">
        <v>239</v>
      </c>
      <c r="I77" s="22"/>
      <c r="J77" s="22"/>
      <c r="K77" s="22"/>
      <c r="L77" s="22" t="n">
        <v>1</v>
      </c>
      <c r="M77" s="26" t="s">
        <v>240</v>
      </c>
      <c r="N77" s="22"/>
      <c r="O77" s="22"/>
      <c r="P77" s="22"/>
      <c r="Q77" s="22" t="n">
        <v>1</v>
      </c>
      <c r="R77" s="26" t="s">
        <v>241</v>
      </c>
      <c r="S77" s="22"/>
      <c r="T77" s="22"/>
      <c r="U77" s="22"/>
      <c r="V77" s="22" t="n">
        <v>1</v>
      </c>
      <c r="W77" s="16"/>
      <c r="X77" s="16"/>
      <c r="Y77" s="16"/>
      <c r="Z77" s="16"/>
      <c r="AA77" s="16"/>
      <c r="AB77" s="16"/>
      <c r="AC77" s="16"/>
      <c r="AD77" s="16"/>
      <c r="AE77" s="16"/>
      <c r="AF77" s="16"/>
      <c r="AG77" s="16"/>
      <c r="AH77" s="16"/>
      <c r="AI77" s="16"/>
      <c r="AJ77" s="16"/>
      <c r="AK77" s="16"/>
      <c r="AL77" s="16"/>
      <c r="AM77" s="16"/>
      <c r="AN77" s="16"/>
      <c r="AO77" s="16"/>
      <c r="AP77" s="16"/>
      <c r="AQ77" s="16"/>
    </row>
    <row r="78" customFormat="false" ht="82.05" hidden="false" customHeight="false" outlineLevel="0" collapsed="false">
      <c r="A78" s="17"/>
      <c r="B78" s="17"/>
      <c r="C78" s="26" t="s">
        <v>242</v>
      </c>
      <c r="D78" s="22"/>
      <c r="E78" s="22"/>
      <c r="F78" s="22"/>
      <c r="G78" s="22" t="n">
        <v>1</v>
      </c>
      <c r="H78" s="26" t="s">
        <v>243</v>
      </c>
      <c r="I78" s="22"/>
      <c r="J78" s="22"/>
      <c r="K78" s="22"/>
      <c r="L78" s="22" t="n">
        <v>1</v>
      </c>
      <c r="M78" s="26" t="s">
        <v>244</v>
      </c>
      <c r="N78" s="22"/>
      <c r="O78" s="22"/>
      <c r="P78" s="22"/>
      <c r="Q78" s="22" t="n">
        <v>1</v>
      </c>
      <c r="R78" s="26" t="s">
        <v>245</v>
      </c>
      <c r="S78" s="22"/>
      <c r="T78" s="22"/>
      <c r="U78" s="22"/>
      <c r="V78" s="22" t="n">
        <v>1</v>
      </c>
      <c r="W78" s="16"/>
      <c r="X78" s="16"/>
      <c r="Y78" s="16"/>
      <c r="Z78" s="16"/>
      <c r="AA78" s="16"/>
      <c r="AB78" s="16"/>
      <c r="AC78" s="16"/>
      <c r="AD78" s="16"/>
      <c r="AE78" s="16"/>
      <c r="AF78" s="16"/>
      <c r="AG78" s="16"/>
      <c r="AH78" s="16"/>
      <c r="AI78" s="16"/>
      <c r="AJ78" s="16"/>
      <c r="AK78" s="16"/>
      <c r="AL78" s="16"/>
      <c r="AM78" s="16"/>
      <c r="AN78" s="16"/>
      <c r="AO78" s="16"/>
      <c r="AP78" s="16"/>
      <c r="AQ78" s="16"/>
    </row>
    <row r="79" customFormat="false" ht="55.2" hidden="false" customHeight="false" outlineLevel="0" collapsed="false">
      <c r="A79" s="17"/>
      <c r="B79" s="17"/>
      <c r="C79" s="26" t="s">
        <v>246</v>
      </c>
      <c r="D79" s="22"/>
      <c r="E79" s="22"/>
      <c r="F79" s="22"/>
      <c r="G79" s="22" t="n">
        <v>1</v>
      </c>
      <c r="H79" s="26" t="s">
        <v>247</v>
      </c>
      <c r="I79" s="22"/>
      <c r="J79" s="22"/>
      <c r="K79" s="22"/>
      <c r="L79" s="22" t="n">
        <v>1</v>
      </c>
      <c r="M79" s="26" t="s">
        <v>248</v>
      </c>
      <c r="N79" s="22"/>
      <c r="O79" s="22"/>
      <c r="P79" s="22"/>
      <c r="Q79" s="22" t="n">
        <v>1</v>
      </c>
      <c r="R79" s="26" t="s">
        <v>249</v>
      </c>
      <c r="S79" s="22"/>
      <c r="T79" s="22"/>
      <c r="U79" s="22"/>
      <c r="V79" s="22" t="n">
        <v>1</v>
      </c>
      <c r="W79" s="16"/>
      <c r="X79" s="16"/>
      <c r="Y79" s="16"/>
      <c r="Z79" s="16"/>
      <c r="AA79" s="16"/>
      <c r="AB79" s="16"/>
      <c r="AC79" s="16"/>
      <c r="AD79" s="16"/>
      <c r="AE79" s="16"/>
      <c r="AF79" s="16"/>
      <c r="AG79" s="16"/>
      <c r="AH79" s="16"/>
      <c r="AI79" s="16"/>
      <c r="AJ79" s="16"/>
      <c r="AK79" s="16"/>
      <c r="AL79" s="16"/>
      <c r="AM79" s="16"/>
      <c r="AN79" s="16"/>
      <c r="AO79" s="16"/>
      <c r="AP79" s="16"/>
      <c r="AQ79" s="16"/>
    </row>
    <row r="80" customFormat="false" ht="41.75" hidden="false" customHeight="false" outlineLevel="0" collapsed="false">
      <c r="A80" s="17"/>
      <c r="B80" s="17"/>
      <c r="C80" s="26" t="s">
        <v>250</v>
      </c>
      <c r="D80" s="22"/>
      <c r="E80" s="22"/>
      <c r="F80" s="22"/>
      <c r="G80" s="22" t="n">
        <v>1</v>
      </c>
      <c r="H80" s="26" t="s">
        <v>250</v>
      </c>
      <c r="I80" s="22"/>
      <c r="J80" s="22"/>
      <c r="K80" s="22"/>
      <c r="L80" s="22" t="n">
        <v>1</v>
      </c>
      <c r="M80" s="26" t="s">
        <v>251</v>
      </c>
      <c r="N80" s="22"/>
      <c r="O80" s="22"/>
      <c r="P80" s="22"/>
      <c r="Q80" s="22" t="n">
        <v>1</v>
      </c>
      <c r="R80" s="42" t="s">
        <v>252</v>
      </c>
      <c r="S80" s="22"/>
      <c r="T80" s="22"/>
      <c r="U80" s="22"/>
      <c r="V80" s="22" t="n">
        <v>1</v>
      </c>
      <c r="W80" s="16"/>
      <c r="X80" s="16"/>
      <c r="Y80" s="16"/>
      <c r="Z80" s="16"/>
      <c r="AA80" s="16"/>
      <c r="AB80" s="16"/>
      <c r="AC80" s="16"/>
      <c r="AD80" s="16"/>
      <c r="AE80" s="16"/>
      <c r="AF80" s="16"/>
      <c r="AG80" s="16"/>
      <c r="AH80" s="16"/>
      <c r="AI80" s="16"/>
      <c r="AJ80" s="16"/>
      <c r="AK80" s="16"/>
      <c r="AL80" s="16"/>
      <c r="AM80" s="16"/>
      <c r="AN80" s="16"/>
      <c r="AO80" s="16"/>
      <c r="AP80" s="16"/>
      <c r="AQ80" s="16"/>
    </row>
    <row r="81" customFormat="false" ht="28.35" hidden="false" customHeight="false" outlineLevel="0" collapsed="false">
      <c r="A81" s="17"/>
      <c r="B81" s="17"/>
      <c r="C81" s="26" t="s">
        <v>253</v>
      </c>
      <c r="D81" s="22"/>
      <c r="E81" s="22"/>
      <c r="F81" s="22"/>
      <c r="G81" s="22" t="n">
        <v>1</v>
      </c>
      <c r="H81" s="26" t="s">
        <v>253</v>
      </c>
      <c r="I81" s="22"/>
      <c r="J81" s="22"/>
      <c r="K81" s="22"/>
      <c r="L81" s="22" t="n">
        <v>1</v>
      </c>
      <c r="M81" s="77"/>
      <c r="N81" s="77"/>
      <c r="O81" s="77"/>
      <c r="P81" s="77"/>
      <c r="Q81" s="77"/>
      <c r="R81" s="26" t="s">
        <v>254</v>
      </c>
      <c r="S81" s="22"/>
      <c r="T81" s="22"/>
      <c r="U81" s="22"/>
      <c r="V81" s="22" t="n">
        <v>1</v>
      </c>
      <c r="W81" s="16"/>
      <c r="X81" s="16"/>
      <c r="Y81" s="16"/>
      <c r="Z81" s="16"/>
      <c r="AA81" s="16"/>
      <c r="AB81" s="16"/>
      <c r="AC81" s="16"/>
      <c r="AD81" s="16"/>
      <c r="AE81" s="16"/>
      <c r="AF81" s="16"/>
      <c r="AG81" s="16"/>
      <c r="AH81" s="16"/>
      <c r="AI81" s="16"/>
      <c r="AJ81" s="16"/>
      <c r="AK81" s="16"/>
      <c r="AL81" s="16"/>
      <c r="AM81" s="16"/>
      <c r="AN81" s="16"/>
      <c r="AO81" s="16"/>
      <c r="AP81" s="16"/>
      <c r="AQ81" s="16"/>
    </row>
    <row r="82" customFormat="false" ht="41.75" hidden="false" customHeight="false" outlineLevel="0" collapsed="false">
      <c r="A82" s="17"/>
      <c r="B82" s="17"/>
      <c r="C82" s="78" t="s">
        <v>255</v>
      </c>
      <c r="D82" s="22"/>
      <c r="E82" s="22"/>
      <c r="F82" s="22"/>
      <c r="G82" s="22" t="n">
        <v>1</v>
      </c>
      <c r="H82" s="26" t="s">
        <v>255</v>
      </c>
      <c r="I82" s="22"/>
      <c r="J82" s="22"/>
      <c r="K82" s="22"/>
      <c r="L82" s="22" t="n">
        <v>1</v>
      </c>
      <c r="M82" s="77"/>
      <c r="N82" s="77"/>
      <c r="O82" s="77"/>
      <c r="P82" s="77"/>
      <c r="Q82" s="77"/>
      <c r="R82" s="26" t="s">
        <v>256</v>
      </c>
      <c r="S82" s="22"/>
      <c r="T82" s="22"/>
      <c r="U82" s="22"/>
      <c r="V82" s="22" t="n">
        <v>1</v>
      </c>
      <c r="W82" s="16"/>
      <c r="X82" s="16"/>
      <c r="Y82" s="16"/>
      <c r="Z82" s="16"/>
      <c r="AA82" s="16"/>
      <c r="AB82" s="16"/>
      <c r="AC82" s="16"/>
      <c r="AD82" s="16"/>
      <c r="AE82" s="16"/>
      <c r="AF82" s="16"/>
      <c r="AG82" s="16"/>
      <c r="AH82" s="16"/>
      <c r="AI82" s="16"/>
      <c r="AJ82" s="16"/>
      <c r="AK82" s="16"/>
      <c r="AL82" s="16"/>
      <c r="AM82" s="16"/>
      <c r="AN82" s="16"/>
      <c r="AO82" s="16"/>
      <c r="AP82" s="16"/>
      <c r="AQ82" s="16"/>
    </row>
    <row r="83" customFormat="false" ht="55.2" hidden="false" customHeight="false" outlineLevel="0" collapsed="false">
      <c r="A83" s="17"/>
      <c r="B83" s="17"/>
      <c r="C83" s="23"/>
      <c r="D83" s="23"/>
      <c r="E83" s="23"/>
      <c r="F83" s="23"/>
      <c r="G83" s="23"/>
      <c r="H83" s="23"/>
      <c r="I83" s="23"/>
      <c r="J83" s="23"/>
      <c r="K83" s="23"/>
      <c r="L83" s="23"/>
      <c r="M83" s="23"/>
      <c r="N83" s="23"/>
      <c r="O83" s="23"/>
      <c r="P83" s="23"/>
      <c r="Q83" s="23"/>
      <c r="R83" s="26" t="s">
        <v>257</v>
      </c>
      <c r="S83" s="22"/>
      <c r="T83" s="22"/>
      <c r="U83" s="22"/>
      <c r="V83" s="22" t="n">
        <v>1</v>
      </c>
      <c r="W83" s="16"/>
      <c r="X83" s="16"/>
      <c r="Y83" s="16"/>
      <c r="Z83" s="16"/>
      <c r="AA83" s="16"/>
      <c r="AB83" s="16"/>
      <c r="AC83" s="16"/>
      <c r="AD83" s="16"/>
      <c r="AE83" s="16"/>
      <c r="AF83" s="16"/>
      <c r="AG83" s="16"/>
      <c r="AH83" s="16"/>
      <c r="AI83" s="16"/>
      <c r="AJ83" s="16"/>
      <c r="AK83" s="16"/>
      <c r="AL83" s="16"/>
      <c r="AM83" s="16"/>
      <c r="AN83" s="16"/>
      <c r="AO83" s="16"/>
      <c r="AP83" s="16"/>
      <c r="AQ83" s="16"/>
    </row>
    <row r="84" customFormat="false" ht="28.35" hidden="false" customHeight="false" outlineLevel="0" collapsed="false">
      <c r="A84" s="17"/>
      <c r="B84" s="17"/>
      <c r="C84" s="17"/>
      <c r="D84" s="23"/>
      <c r="E84" s="23"/>
      <c r="F84" s="23"/>
      <c r="G84" s="23"/>
      <c r="H84" s="23"/>
      <c r="I84" s="23"/>
      <c r="J84" s="23"/>
      <c r="K84" s="23"/>
      <c r="L84" s="23"/>
      <c r="M84" s="23"/>
      <c r="N84" s="23"/>
      <c r="O84" s="23"/>
      <c r="P84" s="23"/>
      <c r="Q84" s="23"/>
      <c r="R84" s="26" t="s">
        <v>258</v>
      </c>
      <c r="S84" s="22"/>
      <c r="T84" s="22"/>
      <c r="U84" s="22"/>
      <c r="V84" s="22" t="n">
        <v>1</v>
      </c>
      <c r="W84" s="16"/>
      <c r="X84" s="16"/>
      <c r="Y84" s="16"/>
      <c r="Z84" s="16"/>
      <c r="AA84" s="16"/>
      <c r="AB84" s="16"/>
      <c r="AC84" s="16"/>
      <c r="AD84" s="16"/>
      <c r="AE84" s="16"/>
      <c r="AF84" s="16"/>
      <c r="AG84" s="16"/>
      <c r="AH84" s="16"/>
      <c r="AI84" s="16"/>
      <c r="AJ84" s="16"/>
      <c r="AK84" s="16"/>
      <c r="AL84" s="16"/>
      <c r="AM84" s="16"/>
      <c r="AN84" s="16"/>
      <c r="AO84" s="16"/>
      <c r="AP84" s="16"/>
      <c r="AQ84" s="16"/>
    </row>
    <row r="85" customFormat="false" ht="68.65" hidden="false" customHeight="false" outlineLevel="0" collapsed="false">
      <c r="A85" s="17"/>
      <c r="B85" s="17"/>
      <c r="C85" s="17"/>
      <c r="D85" s="23"/>
      <c r="E85" s="23"/>
      <c r="F85" s="23"/>
      <c r="G85" s="23"/>
      <c r="H85" s="23"/>
      <c r="I85" s="23"/>
      <c r="J85" s="23"/>
      <c r="K85" s="23"/>
      <c r="L85" s="23"/>
      <c r="M85" s="23"/>
      <c r="N85" s="23"/>
      <c r="O85" s="23"/>
      <c r="P85" s="23"/>
      <c r="Q85" s="23"/>
      <c r="R85" s="26" t="s">
        <v>259</v>
      </c>
      <c r="S85" s="22"/>
      <c r="T85" s="22"/>
      <c r="U85" s="22"/>
      <c r="V85" s="22" t="n">
        <v>1</v>
      </c>
      <c r="W85" s="16"/>
      <c r="X85" s="16"/>
      <c r="Y85" s="16"/>
      <c r="Z85" s="16"/>
      <c r="AA85" s="16"/>
      <c r="AB85" s="16"/>
      <c r="AC85" s="16"/>
      <c r="AD85" s="16"/>
      <c r="AE85" s="16"/>
      <c r="AF85" s="16"/>
      <c r="AG85" s="16"/>
      <c r="AH85" s="16"/>
      <c r="AI85" s="16"/>
      <c r="AJ85" s="16"/>
      <c r="AK85" s="16"/>
      <c r="AL85" s="16"/>
      <c r="AM85" s="16"/>
      <c r="AN85" s="16"/>
      <c r="AO85" s="16"/>
      <c r="AP85" s="16"/>
      <c r="AQ85" s="16"/>
    </row>
    <row r="86" customFormat="false" ht="15.75" hidden="false" customHeight="true" outlineLevel="0" collapsed="false">
      <c r="A86" s="79"/>
      <c r="B86" s="80" t="s">
        <v>88</v>
      </c>
      <c r="C86" s="80"/>
      <c r="D86" s="81" t="e">
        <f aca="false">IF( AND(COUNT(D73:G73)=1,COUNT(D74:G74)=1,COUNT(D75:G75)=1,COUNT(D76:G76)=1,COUNT(D77:G77)=1,COUNT(D78:G78)=1,COUNT(D79:G79)=1,COUNT(D80:G80)=1,COUNT(D81:G81)=1,COUNT(D82:G82)=1), (SUM(F73:F82) + (SUM(E73:E82)/2)) / COUNTBLANK(G73:G82), "Error - check cell values")</f>
        <v>#DIV/0!</v>
      </c>
      <c r="E86" s="81"/>
      <c r="F86" s="82" t="n">
        <f aca="false">COUNTBLANK(G73:G82)</f>
        <v>0</v>
      </c>
      <c r="G86" s="82" t="n">
        <f aca="false">ROWS(G73:G82)</f>
        <v>10</v>
      </c>
      <c r="H86" s="83" t="s">
        <v>88</v>
      </c>
      <c r="I86" s="81" t="e">
        <f aca="false">IF( AND(COUNT(I73:L73)=1,COUNT(I74:L74)=1,COUNT(I75:L75)=1,COUNT(I76:L76)=1,COUNT(I77:L77)=1,COUNT(I78:L78)=1,COUNT(I79:L79)=1,COUNT(I80:L80)=1,COUNT(I81:L81)=1,COUNT(I82:L82)=1), (SUM(K73:K82) + (SUM(J73:J82)/2)) / COUNTBLANK(L73:L82), "Error - check cell values")</f>
        <v>#DIV/0!</v>
      </c>
      <c r="J86" s="81"/>
      <c r="K86" s="82" t="n">
        <f aca="false">COUNTBLANK(L73:L82)</f>
        <v>0</v>
      </c>
      <c r="L86" s="82" t="n">
        <f aca="false">ROWS(L73:L82)</f>
        <v>10</v>
      </c>
      <c r="M86" s="83" t="s">
        <v>88</v>
      </c>
      <c r="N86" s="81" t="e">
        <f aca="false">IF( AND(COUNT(N73:Q73)=1,COUNT(N74:Q74)=1,COUNT(N75:Q75)=1,COUNT(N76:Q76)=1,COUNT(N77:Q77)=1,COUNT(N78:Q78)=1,COUNT(N79:Q79)=1,COUNT(N80:Q80)=1), (SUM(P73:P80) + (SUM(O73:O80)/2)) / COUNTBLANK(Q73:Q80), "Error - check cell values")</f>
        <v>#DIV/0!</v>
      </c>
      <c r="O86" s="81"/>
      <c r="P86" s="82" t="n">
        <f aca="false">COUNTBLANK(Q73:Q80)</f>
        <v>0</v>
      </c>
      <c r="Q86" s="82" t="n">
        <f aca="false">ROWS(Q73:Q80)</f>
        <v>8</v>
      </c>
      <c r="R86" s="83" t="s">
        <v>88</v>
      </c>
      <c r="S86" s="81" t="e">
        <f aca="false">IF( AND(COUNT(S73:V73)=1,COUNT(S74:V74)=1,COUNT(S75:V75)=1,COUNT(S76:V76)=1,COUNT(S77:V77)=1,COUNT(S78:V78)=1,COUNT(S79:V79)=1,COUNT(S80:V80)=1,COUNT(S81:V81)=1,COUNT(S82:V82)=1,COUNT(S83:V83)=1,COUNT(S84:V84)=1,COUNT(S85:V85)=1), (SUM(U73:U85) + (SUM(T73:T85)/2)) / COUNTBLANK(V73:V85), "Error - check cell values")</f>
        <v>#DIV/0!</v>
      </c>
      <c r="T86" s="81"/>
      <c r="U86" s="82" t="n">
        <f aca="false">COUNTBLANK(V73:V85)</f>
        <v>0</v>
      </c>
      <c r="V86" s="82" t="n">
        <f aca="false">ROWS(V73:V85)</f>
        <v>13</v>
      </c>
      <c r="W86" s="16"/>
      <c r="X86" s="16"/>
      <c r="Y86" s="16"/>
      <c r="Z86" s="16"/>
      <c r="AA86" s="16"/>
      <c r="AB86" s="16"/>
      <c r="AC86" s="16"/>
      <c r="AD86" s="16"/>
      <c r="AE86" s="16"/>
      <c r="AF86" s="16"/>
      <c r="AG86" s="16"/>
      <c r="AH86" s="16"/>
      <c r="AI86" s="16"/>
      <c r="AJ86" s="16"/>
      <c r="AK86" s="16"/>
      <c r="AL86" s="16"/>
      <c r="AM86" s="16"/>
      <c r="AN86" s="16"/>
      <c r="AO86" s="16"/>
      <c r="AP86" s="16"/>
      <c r="AQ86" s="16"/>
    </row>
    <row r="87" customFormat="false" ht="15.75" hidden="false" customHeight="false" outlineLevel="0" collapsed="false">
      <c r="A87" s="16"/>
      <c r="B87" s="84"/>
      <c r="C87" s="59"/>
      <c r="D87" s="59"/>
      <c r="E87" s="59"/>
      <c r="F87" s="59"/>
      <c r="G87" s="59"/>
      <c r="H87" s="59"/>
      <c r="I87" s="59"/>
      <c r="J87" s="59"/>
      <c r="K87" s="59"/>
      <c r="L87" s="59"/>
      <c r="M87" s="59"/>
      <c r="N87" s="59"/>
      <c r="O87" s="59"/>
      <c r="P87" s="59"/>
      <c r="Q87" s="59"/>
      <c r="R87" s="59"/>
      <c r="S87" s="59"/>
      <c r="T87" s="59"/>
      <c r="U87" s="59"/>
      <c r="V87" s="59"/>
      <c r="W87" s="16"/>
      <c r="X87" s="16"/>
      <c r="Y87" s="16"/>
      <c r="Z87" s="16"/>
      <c r="AA87" s="16"/>
      <c r="AB87" s="16"/>
      <c r="AC87" s="16"/>
      <c r="AD87" s="16"/>
      <c r="AE87" s="16"/>
      <c r="AF87" s="16"/>
      <c r="AG87" s="16"/>
      <c r="AH87" s="16"/>
      <c r="AI87" s="16"/>
      <c r="AJ87" s="16"/>
      <c r="AK87" s="16"/>
      <c r="AL87" s="16"/>
      <c r="AM87" s="16"/>
      <c r="AN87" s="16"/>
      <c r="AO87" s="16"/>
      <c r="AP87" s="16"/>
      <c r="AQ87" s="16"/>
    </row>
    <row r="88" customFormat="false" ht="15.75" hidden="false" customHeight="false" outlineLevel="0" collapsed="false">
      <c r="A88" s="16"/>
      <c r="B88" s="84"/>
      <c r="C88" s="59"/>
      <c r="D88" s="59"/>
      <c r="E88" s="59"/>
      <c r="F88" s="59"/>
      <c r="G88" s="59"/>
      <c r="H88" s="59"/>
      <c r="I88" s="59"/>
      <c r="J88" s="59"/>
      <c r="K88" s="59"/>
      <c r="L88" s="59"/>
      <c r="M88" s="59"/>
      <c r="N88" s="59"/>
      <c r="O88" s="59"/>
      <c r="P88" s="59"/>
      <c r="Q88" s="59"/>
      <c r="R88" s="59"/>
      <c r="S88" s="59"/>
      <c r="T88" s="59"/>
      <c r="U88" s="59"/>
      <c r="V88" s="59"/>
      <c r="W88" s="16"/>
      <c r="X88" s="16"/>
      <c r="Y88" s="16"/>
      <c r="Z88" s="16"/>
      <c r="AA88" s="16"/>
      <c r="AB88" s="16"/>
      <c r="AC88" s="16"/>
      <c r="AD88" s="16"/>
      <c r="AE88" s="16"/>
      <c r="AF88" s="16"/>
      <c r="AG88" s="16"/>
      <c r="AH88" s="16"/>
      <c r="AI88" s="16"/>
      <c r="AJ88" s="16"/>
      <c r="AK88" s="16"/>
      <c r="AL88" s="16"/>
      <c r="AM88" s="16"/>
      <c r="AN88" s="16"/>
      <c r="AO88" s="16"/>
      <c r="AP88" s="16"/>
      <c r="AQ88" s="16"/>
    </row>
    <row r="89" customFormat="false" ht="15.75" hidden="false" customHeight="false" outlineLevel="0" collapsed="false">
      <c r="A89" s="16"/>
      <c r="B89" s="84"/>
      <c r="C89" s="59"/>
      <c r="D89" s="59"/>
      <c r="E89" s="59"/>
      <c r="F89" s="59"/>
      <c r="G89" s="59"/>
      <c r="H89" s="59"/>
      <c r="I89" s="59"/>
      <c r="J89" s="59"/>
      <c r="K89" s="59"/>
      <c r="L89" s="59"/>
      <c r="M89" s="59"/>
      <c r="N89" s="59"/>
      <c r="O89" s="59"/>
      <c r="P89" s="59"/>
      <c r="Q89" s="59"/>
      <c r="R89" s="59"/>
      <c r="S89" s="59"/>
      <c r="T89" s="59"/>
      <c r="U89" s="59"/>
      <c r="V89" s="59"/>
      <c r="W89" s="16"/>
      <c r="X89" s="16"/>
      <c r="Y89" s="16"/>
      <c r="Z89" s="16"/>
      <c r="AA89" s="16"/>
      <c r="AB89" s="16"/>
      <c r="AC89" s="16"/>
      <c r="AD89" s="16"/>
      <c r="AE89" s="16"/>
      <c r="AF89" s="16"/>
      <c r="AG89" s="16"/>
      <c r="AH89" s="16"/>
      <c r="AI89" s="16"/>
      <c r="AJ89" s="16"/>
      <c r="AK89" s="16"/>
      <c r="AL89" s="16"/>
      <c r="AM89" s="16"/>
      <c r="AN89" s="16"/>
      <c r="AO89" s="16"/>
      <c r="AP89" s="16"/>
      <c r="AQ89" s="16"/>
    </row>
    <row r="90" customFormat="false" ht="15.75" hidden="false" customHeight="false" outlineLevel="0" collapsed="false">
      <c r="A90" s="16"/>
      <c r="B90" s="84"/>
      <c r="C90" s="16"/>
      <c r="D90" s="16"/>
      <c r="E90" s="16"/>
      <c r="F90" s="16"/>
      <c r="G90" s="16"/>
      <c r="H90" s="16"/>
      <c r="I90" s="16"/>
      <c r="J90" s="16"/>
      <c r="K90" s="16"/>
      <c r="L90" s="16"/>
      <c r="M90" s="84"/>
      <c r="N90" s="84"/>
      <c r="O90" s="84"/>
      <c r="P90" s="84"/>
      <c r="Q90" s="84"/>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row>
    <row r="91" customFormat="false" ht="15.75" hidden="false" customHeight="false" outlineLevel="0" collapsed="false">
      <c r="A91" s="16"/>
      <c r="B91" s="84"/>
      <c r="C91" s="16"/>
      <c r="D91" s="16"/>
      <c r="E91" s="16"/>
      <c r="F91" s="16"/>
      <c r="G91" s="16"/>
      <c r="H91" s="16"/>
      <c r="I91" s="16"/>
      <c r="J91" s="16"/>
      <c r="K91" s="16"/>
      <c r="L91" s="16"/>
      <c r="M91" s="84"/>
      <c r="N91" s="84"/>
      <c r="O91" s="84"/>
      <c r="P91" s="84"/>
      <c r="Q91" s="84"/>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row>
    <row r="92" customFormat="false" ht="15.75" hidden="false" customHeight="false" outlineLevel="0" collapsed="false">
      <c r="A92" s="16"/>
      <c r="B92" s="84"/>
      <c r="C92" s="16"/>
      <c r="D92" s="16"/>
      <c r="E92" s="16"/>
      <c r="F92" s="16"/>
      <c r="G92" s="16"/>
      <c r="H92" s="16"/>
      <c r="I92" s="16"/>
      <c r="J92" s="16"/>
      <c r="K92" s="16"/>
      <c r="L92" s="16"/>
      <c r="M92" s="84"/>
      <c r="N92" s="84"/>
      <c r="O92" s="84"/>
      <c r="P92" s="84"/>
      <c r="Q92" s="84"/>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row>
    <row r="93" customFormat="false" ht="15.75" hidden="false" customHeight="false" outlineLevel="0" collapsed="false">
      <c r="A93" s="16"/>
      <c r="B93" s="84"/>
      <c r="C93" s="16"/>
      <c r="D93" s="16"/>
      <c r="E93" s="16"/>
      <c r="F93" s="16"/>
      <c r="G93" s="16"/>
      <c r="H93" s="16"/>
      <c r="I93" s="16"/>
      <c r="J93" s="16"/>
      <c r="K93" s="16"/>
      <c r="L93" s="16"/>
      <c r="M93" s="84"/>
      <c r="N93" s="84"/>
      <c r="O93" s="84"/>
      <c r="P93" s="84"/>
      <c r="Q93" s="84"/>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row>
    <row r="94" customFormat="false" ht="15.75" hidden="false" customHeight="false" outlineLevel="0" collapsed="false">
      <c r="A94" s="16"/>
      <c r="B94" s="84"/>
      <c r="C94" s="16"/>
      <c r="D94" s="16"/>
      <c r="E94" s="16"/>
      <c r="F94" s="16"/>
      <c r="G94" s="16"/>
      <c r="H94" s="16"/>
      <c r="I94" s="16"/>
      <c r="J94" s="16"/>
      <c r="K94" s="16"/>
      <c r="L94" s="16"/>
      <c r="M94" s="84"/>
      <c r="N94" s="84"/>
      <c r="O94" s="84"/>
      <c r="P94" s="84"/>
      <c r="Q94" s="84"/>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row>
    <row r="95" customFormat="false" ht="15.75" hidden="false" customHeight="false" outlineLevel="0" collapsed="false">
      <c r="A95" s="16"/>
      <c r="B95" s="84"/>
      <c r="C95" s="16"/>
      <c r="D95" s="16"/>
      <c r="E95" s="16"/>
      <c r="F95" s="16"/>
      <c r="G95" s="16"/>
      <c r="H95" s="16"/>
      <c r="I95" s="16"/>
      <c r="J95" s="16"/>
      <c r="K95" s="16"/>
      <c r="L95" s="16"/>
      <c r="M95" s="84"/>
      <c r="N95" s="84"/>
      <c r="O95" s="84"/>
      <c r="P95" s="84"/>
      <c r="Q95" s="84"/>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row>
    <row r="96" customFormat="false" ht="15.75" hidden="false" customHeight="false" outlineLevel="0" collapsed="false">
      <c r="A96" s="16"/>
      <c r="B96" s="84"/>
      <c r="C96" s="16"/>
      <c r="D96" s="16"/>
      <c r="E96" s="16"/>
      <c r="F96" s="16"/>
      <c r="G96" s="16"/>
      <c r="H96" s="16"/>
      <c r="I96" s="16"/>
      <c r="J96" s="16"/>
      <c r="K96" s="16"/>
      <c r="L96" s="16"/>
      <c r="M96" s="84"/>
      <c r="N96" s="84"/>
      <c r="O96" s="84"/>
      <c r="P96" s="84"/>
      <c r="Q96" s="84"/>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row>
    <row r="97" customFormat="false" ht="15.75" hidden="false" customHeight="false" outlineLevel="0" collapsed="false">
      <c r="A97" s="16"/>
      <c r="B97" s="84"/>
      <c r="C97" s="16"/>
      <c r="D97" s="16"/>
      <c r="E97" s="16"/>
      <c r="F97" s="16"/>
      <c r="G97" s="16"/>
      <c r="H97" s="16"/>
      <c r="I97" s="16"/>
      <c r="J97" s="16"/>
      <c r="K97" s="16"/>
      <c r="L97" s="16"/>
      <c r="M97" s="84"/>
      <c r="N97" s="84"/>
      <c r="O97" s="84"/>
      <c r="P97" s="84"/>
      <c r="Q97" s="84"/>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row>
    <row r="98" customFormat="false" ht="15.75" hidden="false" customHeight="false" outlineLevel="0" collapsed="false">
      <c r="A98" s="16"/>
      <c r="B98" s="84"/>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row>
    <row r="99" customFormat="false" ht="15.75" hidden="false" customHeight="false" outlineLevel="0" collapsed="false">
      <c r="A99" s="16"/>
      <c r="B99" s="84"/>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row>
    <row r="100" customFormat="false" ht="15.75" hidden="false" customHeight="false" outlineLevel="0" collapsed="false">
      <c r="A100" s="16"/>
      <c r="B100" s="84"/>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row>
    <row r="101" customFormat="false" ht="15.75" hidden="false" customHeight="false" outlineLevel="0" collapsed="false">
      <c r="A101" s="16"/>
      <c r="B101" s="84"/>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row>
    <row r="102" customFormat="false" ht="15.75" hidden="false" customHeight="false" outlineLevel="0" collapsed="false">
      <c r="A102" s="16"/>
      <c r="B102" s="84"/>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row>
    <row r="103" customFormat="false" ht="15.75" hidden="false" customHeight="false" outlineLevel="0" collapsed="false">
      <c r="A103" s="16"/>
      <c r="B103" s="84"/>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row>
    <row r="104" customFormat="false" ht="15.75" hidden="false" customHeight="false" outlineLevel="0" collapsed="false">
      <c r="A104" s="16"/>
      <c r="B104" s="84"/>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row>
    <row r="105" customFormat="false" ht="15.75" hidden="false" customHeight="false" outlineLevel="0" collapsed="false">
      <c r="A105" s="16"/>
      <c r="B105" s="84"/>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row>
    <row r="106" customFormat="false" ht="15.75" hidden="false" customHeight="false" outlineLevel="0" collapsed="false">
      <c r="A106" s="16"/>
      <c r="B106" s="84"/>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row>
    <row r="107" customFormat="false" ht="15.75" hidden="false" customHeight="false" outlineLevel="0" collapsed="false">
      <c r="A107" s="16"/>
      <c r="B107" s="84"/>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row>
    <row r="108" customFormat="false" ht="15.75" hidden="false" customHeight="false" outlineLevel="0" collapsed="false">
      <c r="A108" s="16"/>
      <c r="B108" s="84"/>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row>
    <row r="109" customFormat="false" ht="15.75" hidden="false" customHeight="false" outlineLevel="0" collapsed="false">
      <c r="A109" s="16"/>
      <c r="B109" s="84"/>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row>
    <row r="110" customFormat="false" ht="15.75" hidden="false" customHeight="false" outlineLevel="0" collapsed="false">
      <c r="A110" s="16"/>
      <c r="B110" s="84"/>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row>
    <row r="111" customFormat="false" ht="15.75" hidden="false" customHeight="false" outlineLevel="0" collapsed="false">
      <c r="A111" s="16"/>
      <c r="B111" s="84"/>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row>
    <row r="112" customFormat="false" ht="15.75" hidden="false" customHeight="false" outlineLevel="0" collapsed="false">
      <c r="A112" s="16"/>
      <c r="B112" s="84"/>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row>
    <row r="113" customFormat="false" ht="15.75" hidden="false" customHeight="false" outlineLevel="0" collapsed="false">
      <c r="A113" s="16"/>
      <c r="B113" s="84"/>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row>
    <row r="114" customFormat="false" ht="15.75" hidden="false" customHeight="false" outlineLevel="0" collapsed="false">
      <c r="A114" s="16"/>
      <c r="B114" s="84"/>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row>
    <row r="115" customFormat="false" ht="15.75" hidden="false" customHeight="false" outlineLevel="0" collapsed="false">
      <c r="A115" s="16"/>
      <c r="B115" s="84"/>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row>
    <row r="116" customFormat="false" ht="15.75" hidden="false" customHeight="false" outlineLevel="0" collapsed="false">
      <c r="A116" s="16"/>
      <c r="B116" s="84"/>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row>
    <row r="117" customFormat="false" ht="15.75" hidden="false" customHeight="false" outlineLevel="0" collapsed="false">
      <c r="A117" s="16"/>
      <c r="B117" s="84"/>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row>
    <row r="118" customFormat="false" ht="15.75" hidden="false" customHeight="false" outlineLevel="0" collapsed="false">
      <c r="A118" s="16"/>
      <c r="B118" s="84"/>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row>
    <row r="119" customFormat="false" ht="15.75" hidden="false" customHeight="false" outlineLevel="0" collapsed="false">
      <c r="A119" s="16"/>
      <c r="B119" s="84"/>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row>
    <row r="120" customFormat="false" ht="15.75" hidden="false" customHeight="false" outlineLevel="0" collapsed="false">
      <c r="A120" s="16"/>
      <c r="B120" s="84"/>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row>
    <row r="121" customFormat="false" ht="15.75" hidden="false" customHeight="false" outlineLevel="0" collapsed="false">
      <c r="A121" s="16"/>
      <c r="B121" s="84"/>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row>
    <row r="122" customFormat="false" ht="15.75" hidden="false" customHeight="false" outlineLevel="0" collapsed="false">
      <c r="A122" s="16"/>
      <c r="B122" s="84"/>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row>
    <row r="123" customFormat="false" ht="15.75" hidden="false" customHeight="false" outlineLevel="0" collapsed="false">
      <c r="A123" s="16"/>
      <c r="B123" s="84"/>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row>
    <row r="124" customFormat="false" ht="15.75" hidden="false" customHeight="false" outlineLevel="0" collapsed="false">
      <c r="A124" s="16"/>
      <c r="B124" s="84"/>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row>
    <row r="125" customFormat="false" ht="15.75" hidden="false" customHeight="false" outlineLevel="0" collapsed="false">
      <c r="A125" s="16"/>
      <c r="B125" s="84"/>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row>
    <row r="126" customFormat="false" ht="15.75" hidden="false" customHeight="false" outlineLevel="0" collapsed="false">
      <c r="A126" s="16"/>
      <c r="B126" s="84"/>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row>
    <row r="127" customFormat="false" ht="15.75" hidden="false" customHeight="false" outlineLevel="0" collapsed="false">
      <c r="A127" s="16"/>
      <c r="B127" s="84"/>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row>
    <row r="128" customFormat="false" ht="15.75" hidden="false" customHeight="false" outlineLevel="0" collapsed="false">
      <c r="A128" s="16"/>
      <c r="B128" s="84"/>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row>
    <row r="129" customFormat="false" ht="15.75" hidden="false" customHeight="false" outlineLevel="0" collapsed="false">
      <c r="A129" s="16"/>
      <c r="B129" s="8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row>
    <row r="130" customFormat="false" ht="15.75" hidden="false" customHeight="false" outlineLevel="0" collapsed="false">
      <c r="A130" s="16"/>
      <c r="B130" s="8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row>
    <row r="131" customFormat="false" ht="15.75" hidden="false" customHeight="false" outlineLevel="0" collapsed="false">
      <c r="A131" s="16"/>
      <c r="B131" s="84"/>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row>
    <row r="132" customFormat="false" ht="15.75" hidden="false" customHeight="false" outlineLevel="0" collapsed="false">
      <c r="A132" s="16"/>
      <c r="B132" s="84"/>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row>
    <row r="133" customFormat="false" ht="15.75" hidden="false" customHeight="false" outlineLevel="0" collapsed="false">
      <c r="A133" s="16"/>
      <c r="B133" s="84"/>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row>
    <row r="134" customFormat="false" ht="15.75" hidden="false" customHeight="false" outlineLevel="0" collapsed="false">
      <c r="A134" s="16"/>
      <c r="B134" s="84"/>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row>
    <row r="135" customFormat="false" ht="15.75" hidden="false" customHeight="false" outlineLevel="0" collapsed="false">
      <c r="A135" s="16"/>
      <c r="B135" s="84"/>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row>
    <row r="136" customFormat="false" ht="15.75" hidden="false" customHeight="false" outlineLevel="0" collapsed="false">
      <c r="A136" s="16"/>
      <c r="B136" s="84"/>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row>
    <row r="137" customFormat="false" ht="15.75" hidden="false" customHeight="false" outlineLevel="0" collapsed="false">
      <c r="A137" s="16"/>
      <c r="B137" s="84"/>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row>
    <row r="138" customFormat="false" ht="15.75" hidden="false" customHeight="false" outlineLevel="0" collapsed="false">
      <c r="A138" s="16"/>
      <c r="B138" s="84"/>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row>
    <row r="139" customFormat="false" ht="15.75" hidden="false" customHeight="false" outlineLevel="0" collapsed="false">
      <c r="A139" s="16"/>
      <c r="B139" s="84"/>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row>
    <row r="140" customFormat="false" ht="15.75" hidden="false" customHeight="false" outlineLevel="0" collapsed="false">
      <c r="A140" s="16"/>
      <c r="B140" s="84"/>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row>
    <row r="141" customFormat="false" ht="15.75" hidden="false" customHeight="false" outlineLevel="0" collapsed="false">
      <c r="A141" s="16"/>
      <c r="B141" s="84"/>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row>
    <row r="142" customFormat="false" ht="15.75" hidden="false" customHeight="false" outlineLevel="0" collapsed="false">
      <c r="A142" s="16"/>
      <c r="B142" s="84"/>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row>
    <row r="143" customFormat="false" ht="15.75" hidden="false" customHeight="false" outlineLevel="0" collapsed="false">
      <c r="A143" s="16"/>
      <c r="B143" s="84"/>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row>
    <row r="144" customFormat="false" ht="15.75" hidden="false" customHeight="false" outlineLevel="0" collapsed="false">
      <c r="A144" s="16"/>
      <c r="B144" s="84"/>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row>
    <row r="145" customFormat="false" ht="15.75" hidden="false" customHeight="false" outlineLevel="0" collapsed="false">
      <c r="A145" s="16"/>
      <c r="B145" s="84"/>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row>
    <row r="146" customFormat="false" ht="15.75" hidden="false" customHeight="false" outlineLevel="0" collapsed="false">
      <c r="A146" s="16"/>
      <c r="B146" s="84"/>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row>
    <row r="147" customFormat="false" ht="15.75" hidden="false" customHeight="false" outlineLevel="0" collapsed="false">
      <c r="A147" s="16"/>
      <c r="B147" s="84"/>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row>
    <row r="148" customFormat="false" ht="15.75" hidden="false" customHeight="false" outlineLevel="0" collapsed="false">
      <c r="A148" s="16"/>
      <c r="B148" s="84"/>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row>
    <row r="149" customFormat="false" ht="15.75" hidden="false" customHeight="false" outlineLevel="0" collapsed="false">
      <c r="A149" s="16"/>
      <c r="B149" s="84"/>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row>
    <row r="150" customFormat="false" ht="15.75" hidden="false" customHeight="false" outlineLevel="0" collapsed="false">
      <c r="A150" s="16"/>
      <c r="B150" s="84"/>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row>
    <row r="151" customFormat="false" ht="15.75" hidden="false" customHeight="false" outlineLevel="0" collapsed="false">
      <c r="A151" s="16"/>
      <c r="B151" s="84"/>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row>
    <row r="152" customFormat="false" ht="15.75" hidden="false" customHeight="false" outlineLevel="0" collapsed="false">
      <c r="A152" s="16"/>
      <c r="B152" s="84"/>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row>
    <row r="153" customFormat="false" ht="15.75" hidden="false" customHeight="false" outlineLevel="0" collapsed="false">
      <c r="A153" s="16"/>
      <c r="B153" s="84"/>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row>
    <row r="154" customFormat="false" ht="15.75" hidden="false" customHeight="false" outlineLevel="0" collapsed="false">
      <c r="A154" s="16"/>
      <c r="B154" s="84"/>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row>
    <row r="155" customFormat="false" ht="15.75" hidden="false" customHeight="false" outlineLevel="0" collapsed="false">
      <c r="A155" s="16"/>
      <c r="B155" s="8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row>
    <row r="156" customFormat="false" ht="15.75" hidden="false" customHeight="false" outlineLevel="0" collapsed="false">
      <c r="A156" s="16"/>
      <c r="B156" s="8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row>
    <row r="157" customFormat="false" ht="15.75" hidden="false" customHeight="false" outlineLevel="0" collapsed="false">
      <c r="A157" s="16"/>
      <c r="B157" s="8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row>
    <row r="158" customFormat="false" ht="15.75" hidden="false" customHeight="false" outlineLevel="0" collapsed="false">
      <c r="A158" s="16"/>
      <c r="B158" s="8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row>
    <row r="159" customFormat="false" ht="15.75" hidden="false" customHeight="false" outlineLevel="0" collapsed="false">
      <c r="A159" s="16"/>
      <c r="B159" s="8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row>
    <row r="160" customFormat="false" ht="15.75" hidden="false" customHeight="false" outlineLevel="0" collapsed="false">
      <c r="A160" s="16"/>
      <c r="B160" s="8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row>
    <row r="161" customFormat="false" ht="15.75" hidden="false" customHeight="false" outlineLevel="0" collapsed="false">
      <c r="A161" s="16"/>
      <c r="B161" s="8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row>
    <row r="162" customFormat="false" ht="15.75" hidden="false" customHeight="false" outlineLevel="0" collapsed="false">
      <c r="A162" s="16"/>
      <c r="B162" s="8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row>
    <row r="163" customFormat="false" ht="15.75" hidden="false" customHeight="false" outlineLevel="0" collapsed="false">
      <c r="A163" s="16"/>
      <c r="B163" s="8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row>
    <row r="164" customFormat="false" ht="15.75" hidden="false" customHeight="false" outlineLevel="0" collapsed="false">
      <c r="A164" s="16"/>
      <c r="B164" s="8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row>
    <row r="165" customFormat="false" ht="15.75" hidden="false" customHeight="false" outlineLevel="0" collapsed="false">
      <c r="A165" s="16"/>
      <c r="B165" s="8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row>
    <row r="166" customFormat="false" ht="15.75" hidden="false" customHeight="false" outlineLevel="0" collapsed="false">
      <c r="A166" s="16"/>
      <c r="B166" s="8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row>
    <row r="167" customFormat="false" ht="15.75" hidden="false" customHeight="false" outlineLevel="0" collapsed="false">
      <c r="A167" s="16"/>
      <c r="B167" s="8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row>
    <row r="168" customFormat="false" ht="15.75" hidden="false" customHeight="false" outlineLevel="0" collapsed="false">
      <c r="A168" s="16"/>
      <c r="B168" s="8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row>
    <row r="169" customFormat="false" ht="15.75" hidden="false" customHeight="false" outlineLevel="0" collapsed="false">
      <c r="A169" s="16"/>
      <c r="B169" s="8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row>
    <row r="170" customFormat="false" ht="15.75" hidden="false" customHeight="false" outlineLevel="0" collapsed="false">
      <c r="A170" s="16"/>
      <c r="B170" s="8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row>
    <row r="171" customFormat="false" ht="15.75" hidden="false" customHeight="false" outlineLevel="0" collapsed="false">
      <c r="A171" s="16"/>
      <c r="B171" s="8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row>
    <row r="172" customFormat="false" ht="15.75" hidden="false" customHeight="false" outlineLevel="0" collapsed="false">
      <c r="A172" s="16"/>
      <c r="B172" s="8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row>
    <row r="173" customFormat="false" ht="15.75" hidden="false" customHeight="false" outlineLevel="0" collapsed="false">
      <c r="A173" s="16"/>
      <c r="B173" s="8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row>
    <row r="174" customFormat="false" ht="15.75" hidden="false" customHeight="false" outlineLevel="0" collapsed="false">
      <c r="A174" s="16"/>
      <c r="B174" s="8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row>
    <row r="175" customFormat="false" ht="15.75" hidden="false" customHeight="false" outlineLevel="0" collapsed="false">
      <c r="A175" s="16"/>
      <c r="B175" s="8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row>
    <row r="176" customFormat="false" ht="15.75" hidden="false" customHeight="false" outlineLevel="0" collapsed="false">
      <c r="A176" s="16"/>
      <c r="B176" s="8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row>
    <row r="177" customFormat="false" ht="15.75" hidden="false" customHeight="false" outlineLevel="0" collapsed="false">
      <c r="A177" s="16"/>
      <c r="B177" s="8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row>
    <row r="178" customFormat="false" ht="15.75" hidden="false" customHeight="false" outlineLevel="0" collapsed="false">
      <c r="A178" s="16"/>
      <c r="B178" s="8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row>
    <row r="179" customFormat="false" ht="15.75" hidden="false" customHeight="false" outlineLevel="0" collapsed="false">
      <c r="A179" s="16"/>
      <c r="B179" s="8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row>
    <row r="180" customFormat="false" ht="15.75" hidden="false" customHeight="false" outlineLevel="0" collapsed="false">
      <c r="A180" s="16"/>
      <c r="B180" s="8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row>
    <row r="181" customFormat="false" ht="15.75" hidden="false" customHeight="false" outlineLevel="0" collapsed="false">
      <c r="A181" s="16"/>
      <c r="B181" s="8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row>
    <row r="182" customFormat="false" ht="15.75" hidden="false" customHeight="false" outlineLevel="0" collapsed="false">
      <c r="A182" s="16"/>
      <c r="B182" s="8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row>
    <row r="183" customFormat="false" ht="15.75" hidden="false" customHeight="false" outlineLevel="0" collapsed="false">
      <c r="A183" s="16"/>
      <c r="B183" s="8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row>
    <row r="184" customFormat="false" ht="15.75" hidden="false" customHeight="false" outlineLevel="0" collapsed="false">
      <c r="A184" s="16"/>
      <c r="B184" s="8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row>
    <row r="185" customFormat="false" ht="15.75" hidden="false" customHeight="false" outlineLevel="0" collapsed="false">
      <c r="A185" s="16"/>
      <c r="B185" s="8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row>
    <row r="186" customFormat="false" ht="15.75" hidden="false" customHeight="false" outlineLevel="0" collapsed="false">
      <c r="A186" s="16"/>
      <c r="B186" s="8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row>
    <row r="187" customFormat="false" ht="15.75" hidden="false" customHeight="false" outlineLevel="0" collapsed="false">
      <c r="A187" s="16"/>
      <c r="B187" s="8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row>
    <row r="188" customFormat="false" ht="15.75" hidden="false" customHeight="false" outlineLevel="0" collapsed="false">
      <c r="A188" s="16"/>
      <c r="B188" s="8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row>
    <row r="189" customFormat="false" ht="15.75" hidden="false" customHeight="false" outlineLevel="0" collapsed="false">
      <c r="A189" s="16"/>
      <c r="B189" s="8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row>
    <row r="190" customFormat="false" ht="15.75" hidden="false" customHeight="false" outlineLevel="0" collapsed="false">
      <c r="A190" s="16"/>
      <c r="B190" s="8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row>
    <row r="191" customFormat="false" ht="15.75" hidden="false" customHeight="false" outlineLevel="0" collapsed="false">
      <c r="A191" s="16"/>
      <c r="B191" s="8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row>
    <row r="192" customFormat="false" ht="15.75" hidden="false" customHeight="false" outlineLevel="0" collapsed="false">
      <c r="A192" s="16"/>
      <c r="B192" s="8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row>
    <row r="193" customFormat="false" ht="15.75" hidden="false" customHeight="false" outlineLevel="0" collapsed="false">
      <c r="A193" s="16"/>
      <c r="B193" s="8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row>
    <row r="194" customFormat="false" ht="15.75" hidden="false" customHeight="false" outlineLevel="0" collapsed="false">
      <c r="A194" s="16"/>
      <c r="B194" s="8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row>
    <row r="195" customFormat="false" ht="15.75" hidden="false" customHeight="false" outlineLevel="0" collapsed="false">
      <c r="A195" s="16"/>
      <c r="B195" s="8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row>
    <row r="196" customFormat="false" ht="15.75" hidden="false" customHeight="false" outlineLevel="0" collapsed="false">
      <c r="A196" s="16"/>
      <c r="B196" s="8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row>
    <row r="197" customFormat="false" ht="15.75" hidden="false" customHeight="false" outlineLevel="0" collapsed="false">
      <c r="A197" s="16"/>
      <c r="B197" s="8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row>
    <row r="198" customFormat="false" ht="15.75" hidden="false" customHeight="false" outlineLevel="0" collapsed="false">
      <c r="A198" s="16"/>
      <c r="B198" s="8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row>
    <row r="199" customFormat="false" ht="15.75" hidden="false" customHeight="false" outlineLevel="0" collapsed="false">
      <c r="A199" s="16"/>
      <c r="B199" s="8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row>
    <row r="200" customFormat="false" ht="15.75" hidden="false" customHeight="false" outlineLevel="0" collapsed="false">
      <c r="A200" s="16"/>
      <c r="B200" s="8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row>
    <row r="201" customFormat="false" ht="15.75" hidden="false" customHeight="false" outlineLevel="0" collapsed="false">
      <c r="A201" s="16"/>
      <c r="B201" s="8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row>
    <row r="202" customFormat="false" ht="15.75" hidden="false" customHeight="false" outlineLevel="0" collapsed="false">
      <c r="A202" s="16"/>
      <c r="B202" s="8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row>
    <row r="203" customFormat="false" ht="15.75" hidden="false" customHeight="false" outlineLevel="0" collapsed="false">
      <c r="A203" s="16"/>
      <c r="B203" s="8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row>
    <row r="204" customFormat="false" ht="15.75" hidden="false" customHeight="false" outlineLevel="0" collapsed="false">
      <c r="A204" s="16"/>
      <c r="B204" s="8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row>
    <row r="205" customFormat="false" ht="15.75" hidden="false" customHeight="false" outlineLevel="0" collapsed="false">
      <c r="A205" s="16"/>
      <c r="B205" s="8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row>
    <row r="206" customFormat="false" ht="15.75" hidden="false" customHeight="false" outlineLevel="0" collapsed="false">
      <c r="A206" s="16"/>
      <c r="B206" s="8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row>
    <row r="207" customFormat="false" ht="15.75" hidden="false" customHeight="false" outlineLevel="0" collapsed="false">
      <c r="A207" s="16"/>
      <c r="B207" s="8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row>
    <row r="208" customFormat="false" ht="15.75" hidden="false" customHeight="false" outlineLevel="0" collapsed="false">
      <c r="A208" s="16"/>
      <c r="B208" s="8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row>
    <row r="209" customFormat="false" ht="15.75" hidden="false" customHeight="false" outlineLevel="0" collapsed="false">
      <c r="A209" s="16"/>
      <c r="B209" s="8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row>
    <row r="210" customFormat="false" ht="15.75" hidden="false" customHeight="false" outlineLevel="0" collapsed="false">
      <c r="A210" s="16"/>
      <c r="B210" s="8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row>
    <row r="211" customFormat="false" ht="15.75" hidden="false" customHeight="false" outlineLevel="0" collapsed="false">
      <c r="A211" s="16"/>
      <c r="B211" s="8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row>
    <row r="212" customFormat="false" ht="15.75" hidden="false" customHeight="false" outlineLevel="0" collapsed="false">
      <c r="A212" s="16"/>
      <c r="B212" s="8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row>
    <row r="213" customFormat="false" ht="15.75" hidden="false" customHeight="false" outlineLevel="0" collapsed="false">
      <c r="A213" s="16"/>
      <c r="B213" s="8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row>
    <row r="214" customFormat="false" ht="15.75" hidden="false" customHeight="false" outlineLevel="0" collapsed="false">
      <c r="A214" s="16"/>
      <c r="B214" s="8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row>
    <row r="215" customFormat="false" ht="15.75" hidden="false" customHeight="false" outlineLevel="0" collapsed="false">
      <c r="A215" s="16"/>
      <c r="B215" s="8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row>
    <row r="216" customFormat="false" ht="15.75" hidden="false" customHeight="false" outlineLevel="0" collapsed="false">
      <c r="A216" s="16"/>
      <c r="B216" s="8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row>
    <row r="217" customFormat="false" ht="15.75" hidden="false" customHeight="false" outlineLevel="0" collapsed="false">
      <c r="A217" s="16"/>
      <c r="B217" s="8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row>
    <row r="218" customFormat="false" ht="15.75" hidden="false" customHeight="false" outlineLevel="0" collapsed="false">
      <c r="A218" s="16"/>
      <c r="B218" s="8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row>
    <row r="219" customFormat="false" ht="15.75" hidden="false" customHeight="false" outlineLevel="0" collapsed="false">
      <c r="A219" s="16"/>
      <c r="B219" s="8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row>
    <row r="220" customFormat="false" ht="15.75" hidden="false" customHeight="false" outlineLevel="0" collapsed="false">
      <c r="A220" s="16"/>
      <c r="B220" s="8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row>
    <row r="221" customFormat="false" ht="15.75" hidden="false" customHeight="false" outlineLevel="0" collapsed="false">
      <c r="A221" s="16"/>
      <c r="B221" s="8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row>
    <row r="222" customFormat="false" ht="15.75" hidden="false" customHeight="false" outlineLevel="0" collapsed="false">
      <c r="A222" s="16"/>
      <c r="B222" s="8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row>
    <row r="223" customFormat="false" ht="15.75" hidden="false" customHeight="false" outlineLevel="0" collapsed="false">
      <c r="A223" s="16"/>
      <c r="B223" s="8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row>
    <row r="224" customFormat="false" ht="15.75" hidden="false" customHeight="false" outlineLevel="0" collapsed="false">
      <c r="A224" s="16"/>
      <c r="B224" s="8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row>
    <row r="225" customFormat="false" ht="15.75" hidden="false" customHeight="false" outlineLevel="0" collapsed="false">
      <c r="A225" s="16"/>
      <c r="B225" s="8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row>
    <row r="226" customFormat="false" ht="15.75" hidden="false" customHeight="false" outlineLevel="0" collapsed="false">
      <c r="A226" s="16"/>
      <c r="B226" s="8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row>
    <row r="227" customFormat="false" ht="15.75" hidden="false" customHeight="false" outlineLevel="0" collapsed="false">
      <c r="A227" s="16"/>
      <c r="B227" s="8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row>
    <row r="228" customFormat="false" ht="15.75" hidden="false" customHeight="false" outlineLevel="0" collapsed="false">
      <c r="A228" s="16"/>
      <c r="B228" s="8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row>
    <row r="229" customFormat="false" ht="15.75" hidden="false" customHeight="false" outlineLevel="0" collapsed="false">
      <c r="A229" s="16"/>
      <c r="B229" s="8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row>
    <row r="230" customFormat="false" ht="15.75" hidden="false" customHeight="false" outlineLevel="0" collapsed="false">
      <c r="A230" s="16"/>
      <c r="B230" s="8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row>
    <row r="231" customFormat="false" ht="15.75" hidden="false" customHeight="false" outlineLevel="0" collapsed="false">
      <c r="A231" s="16"/>
      <c r="B231" s="8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row>
    <row r="232" customFormat="false" ht="15.75" hidden="false" customHeight="false" outlineLevel="0" collapsed="false">
      <c r="A232" s="16"/>
      <c r="B232" s="8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row>
    <row r="233" customFormat="false" ht="15.75" hidden="false" customHeight="false" outlineLevel="0" collapsed="false">
      <c r="A233" s="16"/>
      <c r="B233" s="8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row>
    <row r="234" customFormat="false" ht="15.75" hidden="false" customHeight="false" outlineLevel="0" collapsed="false">
      <c r="A234" s="16"/>
      <c r="B234" s="8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row>
    <row r="235" customFormat="false" ht="15.75" hidden="false" customHeight="false" outlineLevel="0" collapsed="false">
      <c r="A235" s="16"/>
      <c r="B235" s="8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row>
    <row r="236" customFormat="false" ht="15.75" hidden="false" customHeight="false" outlineLevel="0" collapsed="false">
      <c r="A236" s="16"/>
      <c r="B236" s="8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row>
    <row r="237" customFormat="false" ht="15.75" hidden="false" customHeight="false" outlineLevel="0" collapsed="false">
      <c r="A237" s="16"/>
      <c r="B237" s="8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row>
    <row r="238" customFormat="false" ht="15.75" hidden="false" customHeight="false" outlineLevel="0" collapsed="false">
      <c r="A238" s="16"/>
      <c r="B238" s="8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row>
    <row r="239" customFormat="false" ht="15.75" hidden="false" customHeight="false" outlineLevel="0" collapsed="false">
      <c r="A239" s="16"/>
      <c r="B239" s="8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row>
    <row r="240" customFormat="false" ht="15.75" hidden="false" customHeight="false" outlineLevel="0" collapsed="false">
      <c r="A240" s="16"/>
      <c r="B240" s="8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row>
    <row r="241" customFormat="false" ht="15.75" hidden="false" customHeight="false" outlineLevel="0" collapsed="false">
      <c r="A241" s="16"/>
      <c r="B241" s="8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row>
    <row r="242" customFormat="false" ht="15.75" hidden="false" customHeight="false" outlineLevel="0" collapsed="false">
      <c r="A242" s="16"/>
      <c r="B242" s="8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row>
    <row r="243" customFormat="false" ht="15.75" hidden="false" customHeight="false" outlineLevel="0" collapsed="false">
      <c r="A243" s="16"/>
      <c r="B243" s="8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row>
    <row r="244" customFormat="false" ht="15.75" hidden="false" customHeight="false" outlineLevel="0" collapsed="false">
      <c r="A244" s="16"/>
      <c r="B244" s="8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row>
    <row r="245" customFormat="false" ht="15.75" hidden="false" customHeight="false" outlineLevel="0" collapsed="false">
      <c r="A245" s="16"/>
      <c r="B245" s="8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row>
    <row r="246" customFormat="false" ht="15.75" hidden="false" customHeight="false" outlineLevel="0" collapsed="false">
      <c r="A246" s="16"/>
      <c r="B246" s="8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row>
    <row r="247" customFormat="false" ht="15.75" hidden="false" customHeight="false" outlineLevel="0" collapsed="false">
      <c r="A247" s="16"/>
      <c r="B247" s="8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row>
    <row r="248" customFormat="false" ht="15.75" hidden="false" customHeight="false" outlineLevel="0" collapsed="false">
      <c r="A248" s="16"/>
      <c r="B248" s="8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row>
    <row r="249" customFormat="false" ht="15.75" hidden="false" customHeight="false" outlineLevel="0" collapsed="false">
      <c r="A249" s="16"/>
      <c r="B249" s="8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row>
    <row r="250" customFormat="false" ht="15.75" hidden="false" customHeight="false" outlineLevel="0" collapsed="false">
      <c r="A250" s="16"/>
      <c r="B250" s="8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row>
    <row r="251" customFormat="false" ht="15.75" hidden="false" customHeight="false" outlineLevel="0" collapsed="false">
      <c r="A251" s="16"/>
      <c r="B251" s="8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row>
    <row r="252" customFormat="false" ht="15.75" hidden="false" customHeight="false" outlineLevel="0" collapsed="false">
      <c r="A252" s="16"/>
      <c r="B252" s="8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row>
    <row r="253" customFormat="false" ht="15.75" hidden="false" customHeight="false" outlineLevel="0" collapsed="false">
      <c r="A253" s="16"/>
      <c r="B253" s="8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row>
    <row r="254" customFormat="false" ht="15.75" hidden="false" customHeight="false" outlineLevel="0" collapsed="false">
      <c r="A254" s="16"/>
      <c r="B254" s="8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row>
    <row r="255" customFormat="false" ht="15.75" hidden="false" customHeight="false" outlineLevel="0" collapsed="false">
      <c r="A255" s="16"/>
      <c r="B255" s="8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row>
    <row r="256" customFormat="false" ht="15.75" hidden="false" customHeight="false" outlineLevel="0" collapsed="false">
      <c r="A256" s="16"/>
      <c r="B256" s="8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row>
    <row r="257" customFormat="false" ht="15.75" hidden="false" customHeight="false" outlineLevel="0" collapsed="false">
      <c r="A257" s="16"/>
      <c r="B257" s="8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row>
    <row r="258" customFormat="false" ht="15.75" hidden="false" customHeight="false" outlineLevel="0" collapsed="false">
      <c r="A258" s="16"/>
      <c r="B258" s="8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row>
    <row r="259" customFormat="false" ht="15.75" hidden="false" customHeight="false" outlineLevel="0" collapsed="false">
      <c r="A259" s="16"/>
      <c r="B259" s="8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row>
    <row r="260" customFormat="false" ht="15.75" hidden="false" customHeight="false" outlineLevel="0" collapsed="false">
      <c r="A260" s="16"/>
      <c r="B260" s="8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row>
    <row r="261" customFormat="false" ht="15.75" hidden="false" customHeight="false" outlineLevel="0" collapsed="false">
      <c r="A261" s="16"/>
      <c r="B261" s="8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row>
    <row r="262" customFormat="false" ht="15.75" hidden="false" customHeight="false" outlineLevel="0" collapsed="false">
      <c r="A262" s="16"/>
      <c r="B262" s="8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row>
    <row r="263" customFormat="false" ht="15.75" hidden="false" customHeight="false" outlineLevel="0" collapsed="false">
      <c r="A263" s="16"/>
      <c r="B263" s="8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row>
    <row r="264" customFormat="false" ht="15.75" hidden="false" customHeight="false" outlineLevel="0" collapsed="false">
      <c r="A264" s="16"/>
      <c r="B264" s="8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row>
    <row r="265" customFormat="false" ht="15.75" hidden="false" customHeight="false" outlineLevel="0" collapsed="false">
      <c r="A265" s="16"/>
      <c r="B265" s="8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row>
    <row r="266" customFormat="false" ht="15.75" hidden="false" customHeight="false" outlineLevel="0" collapsed="false">
      <c r="A266" s="16"/>
      <c r="B266" s="8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row>
    <row r="267" customFormat="false" ht="15.75" hidden="false" customHeight="false" outlineLevel="0" collapsed="false">
      <c r="A267" s="16"/>
      <c r="B267" s="8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row>
    <row r="268" customFormat="false" ht="15.75" hidden="false" customHeight="false" outlineLevel="0" collapsed="false">
      <c r="A268" s="16"/>
      <c r="B268" s="8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row>
    <row r="269" customFormat="false" ht="15.75" hidden="false" customHeight="false" outlineLevel="0" collapsed="false">
      <c r="A269" s="16"/>
      <c r="B269" s="8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row>
    <row r="270" customFormat="false" ht="15.75" hidden="false" customHeight="false" outlineLevel="0" collapsed="false">
      <c r="A270" s="16"/>
      <c r="B270" s="8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row>
    <row r="271" customFormat="false" ht="15.75" hidden="false" customHeight="false" outlineLevel="0" collapsed="false">
      <c r="A271" s="16"/>
      <c r="B271" s="8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row>
    <row r="272" customFormat="false" ht="15.75" hidden="false" customHeight="false" outlineLevel="0" collapsed="false">
      <c r="A272" s="16"/>
      <c r="B272" s="8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row>
    <row r="273" customFormat="false" ht="15.75" hidden="false" customHeight="false" outlineLevel="0" collapsed="false">
      <c r="A273" s="16"/>
      <c r="B273" s="8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row>
    <row r="274" customFormat="false" ht="15.75" hidden="false" customHeight="false" outlineLevel="0" collapsed="false">
      <c r="A274" s="16"/>
      <c r="B274" s="8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row>
    <row r="275" customFormat="false" ht="15.75" hidden="false" customHeight="false" outlineLevel="0" collapsed="false">
      <c r="A275" s="16"/>
      <c r="B275" s="8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row>
    <row r="276" customFormat="false" ht="15.75" hidden="false" customHeight="false" outlineLevel="0" collapsed="false">
      <c r="A276" s="16"/>
      <c r="B276" s="8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row>
    <row r="277" customFormat="false" ht="15.75" hidden="false" customHeight="false" outlineLevel="0" collapsed="false">
      <c r="A277" s="16"/>
      <c r="B277" s="8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row>
    <row r="278" customFormat="false" ht="15.75" hidden="false" customHeight="false" outlineLevel="0" collapsed="false">
      <c r="A278" s="16"/>
      <c r="B278" s="8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row>
    <row r="279" customFormat="false" ht="15.75" hidden="false" customHeight="false" outlineLevel="0" collapsed="false">
      <c r="A279" s="16"/>
      <c r="B279" s="8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row>
    <row r="280" customFormat="false" ht="15.75" hidden="false" customHeight="false" outlineLevel="0" collapsed="false">
      <c r="A280" s="16"/>
      <c r="B280" s="8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row>
    <row r="281" customFormat="false" ht="15.75" hidden="false" customHeight="false" outlineLevel="0" collapsed="false">
      <c r="A281" s="16"/>
      <c r="B281" s="8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row>
    <row r="282" customFormat="false" ht="15.75" hidden="false" customHeight="false" outlineLevel="0" collapsed="false">
      <c r="A282" s="16"/>
      <c r="B282" s="8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row>
    <row r="283" customFormat="false" ht="15.75" hidden="false" customHeight="false" outlineLevel="0" collapsed="false">
      <c r="A283" s="16"/>
      <c r="B283" s="8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row>
    <row r="284" customFormat="false" ht="15.75" hidden="false" customHeight="false" outlineLevel="0" collapsed="false">
      <c r="A284" s="16"/>
      <c r="B284" s="8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row>
    <row r="285" customFormat="false" ht="15.75" hidden="false" customHeight="false" outlineLevel="0" collapsed="false">
      <c r="A285" s="16"/>
      <c r="B285" s="8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row>
    <row r="286" customFormat="false" ht="15.75" hidden="false" customHeight="false" outlineLevel="0" collapsed="false">
      <c r="A286" s="16"/>
      <c r="B286" s="8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row>
    <row r="287" customFormat="false" ht="15.75" hidden="false" customHeight="false" outlineLevel="0" collapsed="false">
      <c r="A287" s="16"/>
      <c r="B287" s="8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row>
    <row r="288" customFormat="false" ht="15.75" hidden="false" customHeight="false" outlineLevel="0" collapsed="false">
      <c r="A288" s="16"/>
      <c r="B288" s="8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row>
    <row r="289" customFormat="false" ht="15.75" hidden="false" customHeight="false" outlineLevel="0" collapsed="false">
      <c r="A289" s="16"/>
      <c r="B289" s="8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row>
    <row r="290" customFormat="false" ht="15.75" hidden="false" customHeight="false" outlineLevel="0" collapsed="false">
      <c r="A290" s="16"/>
      <c r="B290" s="8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row>
    <row r="291" customFormat="false" ht="15.75" hidden="false" customHeight="false" outlineLevel="0" collapsed="false">
      <c r="A291" s="16"/>
      <c r="B291" s="8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row>
    <row r="292" customFormat="false" ht="15.75" hidden="false" customHeight="false" outlineLevel="0" collapsed="false">
      <c r="A292" s="16"/>
      <c r="B292" s="8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row>
    <row r="293" customFormat="false" ht="15.75" hidden="false" customHeight="false" outlineLevel="0" collapsed="false">
      <c r="A293" s="16"/>
      <c r="B293" s="8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row>
    <row r="294" customFormat="false" ht="15.75" hidden="false" customHeight="false" outlineLevel="0" collapsed="false">
      <c r="A294" s="16"/>
      <c r="B294" s="8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row>
    <row r="295" customFormat="false" ht="15.75" hidden="false" customHeight="false" outlineLevel="0" collapsed="false">
      <c r="A295" s="16"/>
      <c r="B295" s="8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row>
    <row r="296" customFormat="false" ht="15.75" hidden="false" customHeight="false" outlineLevel="0" collapsed="false">
      <c r="A296" s="16"/>
      <c r="B296" s="8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row>
    <row r="297" customFormat="false" ht="15.75" hidden="false" customHeight="false" outlineLevel="0" collapsed="false">
      <c r="A297" s="16"/>
      <c r="B297" s="8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row>
    <row r="298" customFormat="false" ht="15.75" hidden="false" customHeight="false" outlineLevel="0" collapsed="false">
      <c r="A298" s="16"/>
      <c r="B298" s="8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row>
    <row r="299" customFormat="false" ht="15.75" hidden="false" customHeight="false" outlineLevel="0" collapsed="false">
      <c r="A299" s="16"/>
      <c r="B299" s="8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row>
    <row r="300" customFormat="false" ht="15.75" hidden="false" customHeight="false" outlineLevel="0" collapsed="false">
      <c r="A300" s="16"/>
      <c r="B300" s="8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row>
    <row r="301" customFormat="false" ht="15.75" hidden="false" customHeight="false" outlineLevel="0" collapsed="false">
      <c r="A301" s="16"/>
      <c r="B301" s="8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row>
    <row r="302" customFormat="false" ht="15.75" hidden="false" customHeight="false" outlineLevel="0" collapsed="false">
      <c r="A302" s="16"/>
      <c r="B302" s="8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row>
    <row r="303" customFormat="false" ht="15.75" hidden="false" customHeight="false" outlineLevel="0" collapsed="false">
      <c r="A303" s="16"/>
      <c r="B303" s="8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row>
    <row r="304" customFormat="false" ht="15.75" hidden="false" customHeight="false" outlineLevel="0" collapsed="false">
      <c r="A304" s="16"/>
      <c r="B304" s="8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row>
    <row r="305" customFormat="false" ht="15.75" hidden="false" customHeight="false" outlineLevel="0" collapsed="false">
      <c r="A305" s="16"/>
      <c r="B305" s="8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row>
    <row r="306" customFormat="false" ht="15.75" hidden="false" customHeight="false" outlineLevel="0" collapsed="false">
      <c r="A306" s="16"/>
      <c r="B306" s="8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row>
    <row r="307" customFormat="false" ht="15.75" hidden="false" customHeight="false" outlineLevel="0" collapsed="false">
      <c r="A307" s="16"/>
      <c r="B307" s="8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row>
    <row r="308" customFormat="false" ht="15.75" hidden="false" customHeight="false" outlineLevel="0" collapsed="false">
      <c r="A308" s="16"/>
      <c r="B308" s="8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row>
    <row r="309" customFormat="false" ht="15.75" hidden="false" customHeight="false" outlineLevel="0" collapsed="false">
      <c r="A309" s="16"/>
      <c r="B309" s="8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row>
    <row r="310" customFormat="false" ht="15.75" hidden="false" customHeight="false" outlineLevel="0" collapsed="false">
      <c r="A310" s="16"/>
      <c r="B310" s="8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row>
    <row r="311" customFormat="false" ht="15.75" hidden="false" customHeight="false" outlineLevel="0" collapsed="false">
      <c r="A311" s="16"/>
      <c r="B311" s="8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row>
    <row r="312" customFormat="false" ht="15.75" hidden="false" customHeight="false" outlineLevel="0" collapsed="false">
      <c r="A312" s="16"/>
      <c r="B312" s="8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row>
    <row r="313" customFormat="false" ht="15.75" hidden="false" customHeight="false" outlineLevel="0" collapsed="false">
      <c r="A313" s="16"/>
      <c r="B313" s="8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row>
    <row r="314" customFormat="false" ht="15.75" hidden="false" customHeight="false" outlineLevel="0" collapsed="false">
      <c r="A314" s="16"/>
      <c r="B314" s="8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row>
    <row r="315" customFormat="false" ht="15.75" hidden="false" customHeight="false" outlineLevel="0" collapsed="false">
      <c r="A315" s="16"/>
      <c r="B315" s="8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row>
    <row r="316" customFormat="false" ht="15.75" hidden="false" customHeight="false" outlineLevel="0" collapsed="false">
      <c r="A316" s="16"/>
      <c r="B316" s="8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row>
    <row r="317" customFormat="false" ht="15.75" hidden="false" customHeight="false" outlineLevel="0" collapsed="false">
      <c r="A317" s="16"/>
      <c r="B317" s="8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row>
    <row r="318" customFormat="false" ht="15.75" hidden="false" customHeight="false" outlineLevel="0" collapsed="false">
      <c r="A318" s="16"/>
      <c r="B318" s="8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row>
    <row r="319" customFormat="false" ht="15.75" hidden="false" customHeight="false" outlineLevel="0" collapsed="false">
      <c r="A319" s="16"/>
      <c r="B319" s="8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row>
    <row r="320" customFormat="false" ht="15.75" hidden="false" customHeight="false" outlineLevel="0" collapsed="false">
      <c r="A320" s="16"/>
      <c r="B320" s="8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row>
    <row r="321" customFormat="false" ht="15.75" hidden="false" customHeight="false" outlineLevel="0" collapsed="false">
      <c r="A321" s="16"/>
      <c r="B321" s="8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row>
    <row r="322" customFormat="false" ht="15.75" hidden="false" customHeight="false" outlineLevel="0" collapsed="false">
      <c r="A322" s="16"/>
      <c r="B322" s="8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row>
    <row r="323" customFormat="false" ht="15.75" hidden="false" customHeight="false" outlineLevel="0" collapsed="false">
      <c r="A323" s="16"/>
      <c r="B323" s="8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row>
    <row r="324" customFormat="false" ht="15.75" hidden="false" customHeight="false" outlineLevel="0" collapsed="false">
      <c r="A324" s="16"/>
      <c r="B324" s="8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row>
    <row r="325" customFormat="false" ht="15.75" hidden="false" customHeight="false" outlineLevel="0" collapsed="false">
      <c r="A325" s="16"/>
      <c r="B325" s="8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row>
    <row r="326" customFormat="false" ht="15.75" hidden="false" customHeight="false" outlineLevel="0" collapsed="false">
      <c r="A326" s="16"/>
      <c r="B326" s="8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row>
    <row r="327" customFormat="false" ht="15.75" hidden="false" customHeight="false" outlineLevel="0" collapsed="false">
      <c r="A327" s="16"/>
      <c r="B327" s="8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row>
    <row r="328" customFormat="false" ht="15.75" hidden="false" customHeight="false" outlineLevel="0" collapsed="false">
      <c r="A328" s="16"/>
      <c r="B328" s="8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row>
    <row r="329" customFormat="false" ht="15.75" hidden="false" customHeight="false" outlineLevel="0" collapsed="false">
      <c r="A329" s="16"/>
      <c r="B329" s="8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row>
    <row r="330" customFormat="false" ht="15.75" hidden="false" customHeight="false" outlineLevel="0" collapsed="false">
      <c r="A330" s="16"/>
      <c r="B330" s="8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75" hidden="false" customHeight="false" outlineLevel="0" collapsed="false">
      <c r="A331" s="16"/>
      <c r="B331" s="8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row>
    <row r="332" customFormat="false" ht="15.75" hidden="false" customHeight="false" outlineLevel="0" collapsed="false">
      <c r="A332" s="16"/>
      <c r="B332" s="8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row>
    <row r="333" customFormat="false" ht="15.75" hidden="false" customHeight="false" outlineLevel="0" collapsed="false">
      <c r="A333" s="16"/>
      <c r="B333" s="8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row>
    <row r="334" customFormat="false" ht="15.75" hidden="false" customHeight="false" outlineLevel="0" collapsed="false">
      <c r="A334" s="16"/>
      <c r="B334" s="8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row>
    <row r="335" customFormat="false" ht="15.75" hidden="false" customHeight="false" outlineLevel="0" collapsed="false">
      <c r="A335" s="16"/>
      <c r="B335" s="8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row>
    <row r="336" customFormat="false" ht="15.75" hidden="false" customHeight="false" outlineLevel="0" collapsed="false">
      <c r="A336" s="16"/>
      <c r="B336" s="8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row>
    <row r="337" customFormat="false" ht="15.75" hidden="false" customHeight="false" outlineLevel="0" collapsed="false">
      <c r="A337" s="16"/>
      <c r="B337" s="8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row>
    <row r="338" customFormat="false" ht="15.75" hidden="false" customHeight="false" outlineLevel="0" collapsed="false">
      <c r="A338" s="16"/>
      <c r="B338" s="8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row>
    <row r="339" customFormat="false" ht="15.75" hidden="false" customHeight="false" outlineLevel="0" collapsed="false">
      <c r="A339" s="16"/>
      <c r="B339" s="8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row>
    <row r="340" customFormat="false" ht="15.75" hidden="false" customHeight="false" outlineLevel="0" collapsed="false">
      <c r="A340" s="16"/>
      <c r="B340" s="8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row>
    <row r="341" customFormat="false" ht="15.75" hidden="false" customHeight="false" outlineLevel="0" collapsed="false">
      <c r="A341" s="16"/>
      <c r="B341" s="8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row>
    <row r="342" customFormat="false" ht="15.75" hidden="false" customHeight="false" outlineLevel="0" collapsed="false">
      <c r="A342" s="16"/>
      <c r="B342" s="8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row>
    <row r="343" customFormat="false" ht="15.75" hidden="false" customHeight="false" outlineLevel="0" collapsed="false">
      <c r="A343" s="16"/>
      <c r="B343" s="8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row>
    <row r="344" customFormat="false" ht="15.75" hidden="false" customHeight="false" outlineLevel="0" collapsed="false">
      <c r="A344" s="16"/>
      <c r="B344" s="8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row>
    <row r="345" customFormat="false" ht="15.75" hidden="false" customHeight="false" outlineLevel="0" collapsed="false">
      <c r="A345" s="16"/>
      <c r="B345" s="8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row>
    <row r="346" customFormat="false" ht="15.75" hidden="false" customHeight="false" outlineLevel="0" collapsed="false">
      <c r="A346" s="16"/>
      <c r="B346" s="8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row>
    <row r="347" customFormat="false" ht="15.75" hidden="false" customHeight="false" outlineLevel="0" collapsed="false">
      <c r="A347" s="16"/>
      <c r="B347" s="8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row>
    <row r="348" customFormat="false" ht="15.75" hidden="false" customHeight="false" outlineLevel="0" collapsed="false">
      <c r="A348" s="16"/>
      <c r="B348" s="8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row>
    <row r="349" customFormat="false" ht="15.75" hidden="false" customHeight="false" outlineLevel="0" collapsed="false">
      <c r="A349" s="16"/>
      <c r="B349" s="8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row>
    <row r="350" customFormat="false" ht="15.75" hidden="false" customHeight="false" outlineLevel="0" collapsed="false">
      <c r="A350" s="16"/>
      <c r="B350" s="8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row>
    <row r="351" customFormat="false" ht="15.75" hidden="false" customHeight="false" outlineLevel="0" collapsed="false">
      <c r="A351" s="16"/>
      <c r="B351" s="8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row>
    <row r="352" customFormat="false" ht="15.75" hidden="false" customHeight="false" outlineLevel="0" collapsed="false">
      <c r="A352" s="16"/>
      <c r="B352" s="8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row>
    <row r="353" customFormat="false" ht="15.75" hidden="false" customHeight="false" outlineLevel="0" collapsed="false">
      <c r="A353" s="16"/>
      <c r="B353" s="8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row>
    <row r="354" customFormat="false" ht="15.75" hidden="false" customHeight="false" outlineLevel="0" collapsed="false">
      <c r="A354" s="16"/>
      <c r="B354" s="8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row>
    <row r="355" customFormat="false" ht="15.75" hidden="false" customHeight="false" outlineLevel="0" collapsed="false">
      <c r="A355" s="16"/>
      <c r="B355" s="8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row>
    <row r="356" customFormat="false" ht="15.75" hidden="false" customHeight="false" outlineLevel="0" collapsed="false">
      <c r="A356" s="16"/>
      <c r="B356" s="8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row>
    <row r="357" customFormat="false" ht="15.75" hidden="false" customHeight="false" outlineLevel="0" collapsed="false">
      <c r="A357" s="16"/>
      <c r="B357" s="8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row>
    <row r="358" customFormat="false" ht="15.75" hidden="false" customHeight="false" outlineLevel="0" collapsed="false">
      <c r="A358" s="16"/>
      <c r="B358" s="8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row>
    <row r="359" customFormat="false" ht="15.75" hidden="false" customHeight="false" outlineLevel="0" collapsed="false">
      <c r="A359" s="16"/>
      <c r="B359" s="8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row>
    <row r="360" customFormat="false" ht="15.75" hidden="false" customHeight="false" outlineLevel="0" collapsed="false">
      <c r="A360" s="16"/>
      <c r="B360" s="8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row>
    <row r="361" customFormat="false" ht="15.75" hidden="false" customHeight="false" outlineLevel="0" collapsed="false">
      <c r="A361" s="16"/>
      <c r="B361" s="8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row>
    <row r="362" customFormat="false" ht="15.75" hidden="false" customHeight="false" outlineLevel="0" collapsed="false">
      <c r="A362" s="16"/>
      <c r="B362" s="8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row>
    <row r="363" customFormat="false" ht="15.75" hidden="false" customHeight="false" outlineLevel="0" collapsed="false">
      <c r="A363" s="16"/>
      <c r="B363" s="8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row>
    <row r="364" customFormat="false" ht="15.75" hidden="false" customHeight="false" outlineLevel="0" collapsed="false">
      <c r="A364" s="16"/>
      <c r="B364" s="8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row>
    <row r="365" customFormat="false" ht="15.75" hidden="false" customHeight="false" outlineLevel="0" collapsed="false">
      <c r="A365" s="16"/>
      <c r="B365" s="8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row>
    <row r="366" customFormat="false" ht="15.75" hidden="false" customHeight="false" outlineLevel="0" collapsed="false">
      <c r="A366" s="16"/>
      <c r="B366" s="8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row>
    <row r="367" customFormat="false" ht="15.75" hidden="false" customHeight="false" outlineLevel="0" collapsed="false">
      <c r="A367" s="16"/>
      <c r="B367" s="8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row>
    <row r="368" customFormat="false" ht="15.75" hidden="false" customHeight="false" outlineLevel="0" collapsed="false">
      <c r="A368" s="16"/>
      <c r="B368" s="8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row>
    <row r="369" customFormat="false" ht="15.75" hidden="false" customHeight="false" outlineLevel="0" collapsed="false">
      <c r="A369" s="16"/>
      <c r="B369" s="8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row>
    <row r="370" customFormat="false" ht="15.75" hidden="false" customHeight="false" outlineLevel="0" collapsed="false">
      <c r="A370" s="16"/>
      <c r="B370" s="8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row>
    <row r="371" customFormat="false" ht="15.75" hidden="false" customHeight="false" outlineLevel="0" collapsed="false">
      <c r="A371" s="16"/>
      <c r="B371" s="8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row>
    <row r="372" customFormat="false" ht="15.75" hidden="false" customHeight="false" outlineLevel="0" collapsed="false">
      <c r="A372" s="16"/>
      <c r="B372" s="8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row>
    <row r="373" customFormat="false" ht="15.75" hidden="false" customHeight="false" outlineLevel="0" collapsed="false">
      <c r="A373" s="16"/>
      <c r="B373" s="8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row>
    <row r="374" customFormat="false" ht="15.75" hidden="false" customHeight="false" outlineLevel="0" collapsed="false">
      <c r="A374" s="16"/>
      <c r="B374" s="8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row>
    <row r="375" customFormat="false" ht="15.75" hidden="false" customHeight="false" outlineLevel="0" collapsed="false">
      <c r="A375" s="16"/>
      <c r="B375" s="8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row>
    <row r="376" customFormat="false" ht="15.75" hidden="false" customHeight="false" outlineLevel="0" collapsed="false">
      <c r="A376" s="16"/>
      <c r="B376" s="8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row>
    <row r="377" customFormat="false" ht="15.75" hidden="false" customHeight="false" outlineLevel="0" collapsed="false">
      <c r="A377" s="16"/>
      <c r="B377" s="8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row>
    <row r="378" customFormat="false" ht="15.75" hidden="false" customHeight="false" outlineLevel="0" collapsed="false">
      <c r="A378" s="16"/>
      <c r="B378" s="8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row>
    <row r="379" customFormat="false" ht="15.75" hidden="false" customHeight="false" outlineLevel="0" collapsed="false">
      <c r="A379" s="16"/>
      <c r="B379" s="8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row>
    <row r="380" customFormat="false" ht="15.75" hidden="false" customHeight="false" outlineLevel="0" collapsed="false">
      <c r="A380" s="16"/>
      <c r="B380" s="8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row>
    <row r="381" customFormat="false" ht="15.75" hidden="false" customHeight="false" outlineLevel="0" collapsed="false">
      <c r="A381" s="16"/>
      <c r="B381" s="8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row>
    <row r="382" customFormat="false" ht="15.75" hidden="false" customHeight="false" outlineLevel="0" collapsed="false">
      <c r="A382" s="16"/>
      <c r="B382" s="8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row>
    <row r="383" customFormat="false" ht="15.75" hidden="false" customHeight="false" outlineLevel="0" collapsed="false">
      <c r="A383" s="16"/>
      <c r="B383" s="8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row>
    <row r="384" customFormat="false" ht="15.75" hidden="false" customHeight="false" outlineLevel="0" collapsed="false">
      <c r="A384" s="16"/>
      <c r="B384" s="8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row>
    <row r="385" customFormat="false" ht="15.75" hidden="false" customHeight="false" outlineLevel="0" collapsed="false">
      <c r="A385" s="16"/>
      <c r="B385" s="8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row>
    <row r="386" customFormat="false" ht="15.75" hidden="false" customHeight="false" outlineLevel="0" collapsed="false">
      <c r="A386" s="16"/>
      <c r="B386" s="8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row>
    <row r="387" customFormat="false" ht="15.75" hidden="false" customHeight="false" outlineLevel="0" collapsed="false">
      <c r="A387" s="16"/>
      <c r="B387" s="8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row>
    <row r="388" customFormat="false" ht="15.75" hidden="false" customHeight="false" outlineLevel="0" collapsed="false">
      <c r="A388" s="16"/>
      <c r="B388" s="8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row>
    <row r="389" customFormat="false" ht="15.75" hidden="false" customHeight="false" outlineLevel="0" collapsed="false">
      <c r="A389" s="16"/>
      <c r="B389" s="8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row>
    <row r="390" customFormat="false" ht="15.75" hidden="false" customHeight="false" outlineLevel="0" collapsed="false">
      <c r="A390" s="16"/>
      <c r="B390" s="8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row>
    <row r="391" customFormat="false" ht="15.75" hidden="false" customHeight="false" outlineLevel="0" collapsed="false">
      <c r="A391" s="16"/>
      <c r="B391" s="8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row>
    <row r="392" customFormat="false" ht="15.75" hidden="false" customHeight="false" outlineLevel="0" collapsed="false">
      <c r="A392" s="16"/>
      <c r="B392" s="8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row>
    <row r="393" customFormat="false" ht="15.75" hidden="false" customHeight="false" outlineLevel="0" collapsed="false">
      <c r="A393" s="16"/>
      <c r="B393" s="8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row>
    <row r="394" customFormat="false" ht="15.75" hidden="false" customHeight="false" outlineLevel="0" collapsed="false">
      <c r="A394" s="16"/>
      <c r="B394" s="8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row>
    <row r="395" customFormat="false" ht="15.75" hidden="false" customHeight="false" outlineLevel="0" collapsed="false">
      <c r="A395" s="16"/>
      <c r="B395" s="8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row>
    <row r="396" customFormat="false" ht="15.75" hidden="false" customHeight="false" outlineLevel="0" collapsed="false">
      <c r="A396" s="16"/>
      <c r="B396" s="8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row>
    <row r="397" customFormat="false" ht="15.75" hidden="false" customHeight="false" outlineLevel="0" collapsed="false">
      <c r="A397" s="16"/>
      <c r="B397" s="8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row>
    <row r="398" customFormat="false" ht="15.75" hidden="false" customHeight="false" outlineLevel="0" collapsed="false">
      <c r="A398" s="16"/>
      <c r="B398" s="8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row>
    <row r="399" customFormat="false" ht="15.75" hidden="false" customHeight="false" outlineLevel="0" collapsed="false">
      <c r="A399" s="16"/>
      <c r="B399" s="8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row>
    <row r="400" customFormat="false" ht="15.75" hidden="false" customHeight="false" outlineLevel="0" collapsed="false">
      <c r="A400" s="16"/>
      <c r="B400" s="8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row>
    <row r="401" customFormat="false" ht="15.75" hidden="false" customHeight="false" outlineLevel="0" collapsed="false">
      <c r="A401" s="16"/>
      <c r="B401" s="8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row>
    <row r="402" customFormat="false" ht="15.75" hidden="false" customHeight="false" outlineLevel="0" collapsed="false">
      <c r="A402" s="16"/>
      <c r="B402" s="8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row>
    <row r="403" customFormat="false" ht="15.75" hidden="false" customHeight="false" outlineLevel="0" collapsed="false">
      <c r="A403" s="16"/>
      <c r="B403" s="8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row>
    <row r="404" customFormat="false" ht="15.75" hidden="false" customHeight="false" outlineLevel="0" collapsed="false">
      <c r="A404" s="16"/>
      <c r="B404" s="8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row>
    <row r="405" customFormat="false" ht="15.75" hidden="false" customHeight="false" outlineLevel="0" collapsed="false">
      <c r="A405" s="16"/>
      <c r="B405" s="8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row>
    <row r="406" customFormat="false" ht="15.75" hidden="false" customHeight="false" outlineLevel="0" collapsed="false">
      <c r="A406" s="16"/>
      <c r="B406" s="8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row>
    <row r="407" customFormat="false" ht="15.75" hidden="false" customHeight="false" outlineLevel="0" collapsed="false">
      <c r="A407" s="16"/>
      <c r="B407" s="8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row>
    <row r="408" customFormat="false" ht="15.75" hidden="false" customHeight="false" outlineLevel="0" collapsed="false">
      <c r="A408" s="16"/>
      <c r="B408" s="8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row>
    <row r="409" customFormat="false" ht="15.75" hidden="false" customHeight="false" outlineLevel="0" collapsed="false">
      <c r="A409" s="16"/>
      <c r="B409" s="8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row>
    <row r="410" customFormat="false" ht="15.75" hidden="false" customHeight="false" outlineLevel="0" collapsed="false">
      <c r="A410" s="16"/>
      <c r="B410" s="8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row>
    <row r="411" customFormat="false" ht="15.75" hidden="false" customHeight="false" outlineLevel="0" collapsed="false">
      <c r="A411" s="16"/>
      <c r="B411" s="8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row>
    <row r="412" customFormat="false" ht="15.75" hidden="false" customHeight="false" outlineLevel="0" collapsed="false">
      <c r="A412" s="16"/>
      <c r="B412" s="8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row>
    <row r="413" customFormat="false" ht="15.75" hidden="false" customHeight="false" outlineLevel="0" collapsed="false">
      <c r="A413" s="16"/>
      <c r="B413" s="8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row>
    <row r="414" customFormat="false" ht="15.75" hidden="false" customHeight="false" outlineLevel="0" collapsed="false">
      <c r="A414" s="16"/>
      <c r="B414" s="8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row>
    <row r="415" customFormat="false" ht="15.75" hidden="false" customHeight="false" outlineLevel="0" collapsed="false">
      <c r="A415" s="16"/>
      <c r="B415" s="8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row>
    <row r="416" customFormat="false" ht="15.75" hidden="false" customHeight="false" outlineLevel="0" collapsed="false">
      <c r="A416" s="16"/>
      <c r="B416" s="8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row>
    <row r="417" customFormat="false" ht="15.75" hidden="false" customHeight="false" outlineLevel="0" collapsed="false">
      <c r="A417" s="16"/>
      <c r="B417" s="8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row>
    <row r="418" customFormat="false" ht="15.75" hidden="false" customHeight="false" outlineLevel="0" collapsed="false">
      <c r="A418" s="16"/>
      <c r="B418" s="8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row>
    <row r="419" customFormat="false" ht="15.75" hidden="false" customHeight="false" outlineLevel="0" collapsed="false">
      <c r="A419" s="16"/>
      <c r="B419" s="8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row>
    <row r="420" customFormat="false" ht="15.75" hidden="false" customHeight="false" outlineLevel="0" collapsed="false">
      <c r="A420" s="16"/>
      <c r="B420" s="8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row>
    <row r="421" customFormat="false" ht="15.75" hidden="false" customHeight="false" outlineLevel="0" collapsed="false">
      <c r="A421" s="16"/>
      <c r="B421" s="8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row>
    <row r="422" customFormat="false" ht="15.75" hidden="false" customHeight="false" outlineLevel="0" collapsed="false">
      <c r="A422" s="16"/>
      <c r="B422" s="8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row>
    <row r="423" customFormat="false" ht="15.75" hidden="false" customHeight="false" outlineLevel="0" collapsed="false">
      <c r="A423" s="16"/>
      <c r="B423" s="8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row>
    <row r="424" customFormat="false" ht="15.75" hidden="false" customHeight="false" outlineLevel="0" collapsed="false">
      <c r="A424" s="16"/>
      <c r="B424" s="8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row>
    <row r="425" customFormat="false" ht="15.75" hidden="false" customHeight="false" outlineLevel="0" collapsed="false">
      <c r="A425" s="16"/>
      <c r="B425" s="8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row>
    <row r="426" customFormat="false" ht="15.75" hidden="false" customHeight="false" outlineLevel="0" collapsed="false">
      <c r="A426" s="16"/>
      <c r="B426" s="8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row>
    <row r="427" customFormat="false" ht="15.75" hidden="false" customHeight="false" outlineLevel="0" collapsed="false">
      <c r="A427" s="16"/>
      <c r="B427" s="8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row>
    <row r="428" customFormat="false" ht="15.75" hidden="false" customHeight="false" outlineLevel="0" collapsed="false">
      <c r="A428" s="16"/>
      <c r="B428" s="8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row>
    <row r="429" customFormat="false" ht="15.75" hidden="false" customHeight="false" outlineLevel="0" collapsed="false">
      <c r="A429" s="16"/>
      <c r="B429" s="8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row>
    <row r="430" customFormat="false" ht="15.75" hidden="false" customHeight="false" outlineLevel="0" collapsed="false">
      <c r="A430" s="16"/>
      <c r="B430" s="8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row>
    <row r="431" customFormat="false" ht="15.75" hidden="false" customHeight="false" outlineLevel="0" collapsed="false">
      <c r="A431" s="16"/>
      <c r="B431" s="8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row>
    <row r="432" customFormat="false" ht="15.75" hidden="false" customHeight="false" outlineLevel="0" collapsed="false">
      <c r="A432" s="16"/>
      <c r="B432" s="8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row>
    <row r="433" customFormat="false" ht="15.75" hidden="false" customHeight="false" outlineLevel="0" collapsed="false">
      <c r="A433" s="16"/>
      <c r="B433" s="8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row>
    <row r="434" customFormat="false" ht="15.75" hidden="false" customHeight="false" outlineLevel="0" collapsed="false">
      <c r="A434" s="16"/>
      <c r="B434" s="8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row>
    <row r="435" customFormat="false" ht="15.75" hidden="false" customHeight="false" outlineLevel="0" collapsed="false">
      <c r="A435" s="16"/>
      <c r="B435" s="8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row>
    <row r="436" customFormat="false" ht="15.75" hidden="false" customHeight="false" outlineLevel="0" collapsed="false">
      <c r="A436" s="16"/>
      <c r="B436" s="8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row>
    <row r="437" customFormat="false" ht="15.75" hidden="false" customHeight="false" outlineLevel="0" collapsed="false">
      <c r="A437" s="16"/>
      <c r="B437" s="8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row>
    <row r="438" customFormat="false" ht="15.75" hidden="false" customHeight="false" outlineLevel="0" collapsed="false">
      <c r="A438" s="16"/>
      <c r="B438" s="8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row>
    <row r="439" customFormat="false" ht="15.75" hidden="false" customHeight="false" outlineLevel="0" collapsed="false">
      <c r="A439" s="16"/>
      <c r="B439" s="8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row>
    <row r="440" customFormat="false" ht="15.75" hidden="false" customHeight="false" outlineLevel="0" collapsed="false">
      <c r="A440" s="16"/>
      <c r="B440" s="8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row>
    <row r="441" customFormat="false" ht="15.75" hidden="false" customHeight="false" outlineLevel="0" collapsed="false">
      <c r="A441" s="16"/>
      <c r="B441" s="8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row>
    <row r="442" customFormat="false" ht="15.75" hidden="false" customHeight="false" outlineLevel="0" collapsed="false">
      <c r="A442" s="16"/>
      <c r="B442" s="8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row>
    <row r="443" customFormat="false" ht="15.75" hidden="false" customHeight="false" outlineLevel="0" collapsed="false">
      <c r="A443" s="16"/>
      <c r="B443" s="8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row>
    <row r="444" customFormat="false" ht="15.75" hidden="false" customHeight="false" outlineLevel="0" collapsed="false">
      <c r="A444" s="16"/>
      <c r="B444" s="8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row>
    <row r="445" customFormat="false" ht="15.75" hidden="false" customHeight="false" outlineLevel="0" collapsed="false">
      <c r="A445" s="16"/>
      <c r="B445" s="8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row>
    <row r="446" customFormat="false" ht="15.75" hidden="false" customHeight="false" outlineLevel="0" collapsed="false">
      <c r="A446" s="16"/>
      <c r="B446" s="8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row>
    <row r="447" customFormat="false" ht="15.75" hidden="false" customHeight="false" outlineLevel="0" collapsed="false">
      <c r="A447" s="16"/>
      <c r="B447" s="8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row>
    <row r="448" customFormat="false" ht="15.75" hidden="false" customHeight="false" outlineLevel="0" collapsed="false">
      <c r="A448" s="16"/>
      <c r="B448" s="8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row>
    <row r="449" customFormat="false" ht="15.75" hidden="false" customHeight="false" outlineLevel="0" collapsed="false">
      <c r="A449" s="16"/>
      <c r="B449" s="8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row>
    <row r="450" customFormat="false" ht="15.75" hidden="false" customHeight="false" outlineLevel="0" collapsed="false">
      <c r="A450" s="16"/>
      <c r="B450" s="8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row>
    <row r="451" customFormat="false" ht="15.75" hidden="false" customHeight="false" outlineLevel="0" collapsed="false">
      <c r="A451" s="16"/>
      <c r="B451" s="8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row>
    <row r="452" customFormat="false" ht="15.75" hidden="false" customHeight="false" outlineLevel="0" collapsed="false">
      <c r="A452" s="16"/>
      <c r="B452" s="8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row>
    <row r="453" customFormat="false" ht="15.75" hidden="false" customHeight="false" outlineLevel="0" collapsed="false">
      <c r="A453" s="16"/>
      <c r="B453" s="8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row>
    <row r="454" customFormat="false" ht="15.75" hidden="false" customHeight="false" outlineLevel="0" collapsed="false">
      <c r="A454" s="16"/>
      <c r="B454" s="8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row>
    <row r="455" customFormat="false" ht="15.75" hidden="false" customHeight="false" outlineLevel="0" collapsed="false">
      <c r="A455" s="16"/>
      <c r="B455" s="8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row>
    <row r="456" customFormat="false" ht="15.75" hidden="false" customHeight="false" outlineLevel="0" collapsed="false">
      <c r="A456" s="16"/>
      <c r="B456" s="8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row>
    <row r="457" customFormat="false" ht="15.75" hidden="false" customHeight="false" outlineLevel="0" collapsed="false">
      <c r="A457" s="16"/>
      <c r="B457" s="8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row>
    <row r="458" customFormat="false" ht="15.75" hidden="false" customHeight="false" outlineLevel="0" collapsed="false">
      <c r="A458" s="16"/>
      <c r="B458" s="8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row>
    <row r="459" customFormat="false" ht="15.75" hidden="false" customHeight="false" outlineLevel="0" collapsed="false">
      <c r="A459" s="16"/>
      <c r="B459" s="8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row>
    <row r="460" customFormat="false" ht="15.75" hidden="false" customHeight="false" outlineLevel="0" collapsed="false">
      <c r="A460" s="16"/>
      <c r="B460" s="8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row>
    <row r="461" customFormat="false" ht="15.75" hidden="false" customHeight="false" outlineLevel="0" collapsed="false">
      <c r="A461" s="16"/>
      <c r="B461" s="8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row>
    <row r="462" customFormat="false" ht="15.75" hidden="false" customHeight="false" outlineLevel="0" collapsed="false">
      <c r="A462" s="16"/>
      <c r="B462" s="8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row>
    <row r="463" customFormat="false" ht="15.75" hidden="false" customHeight="false" outlineLevel="0" collapsed="false">
      <c r="A463" s="16"/>
      <c r="B463" s="8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row>
    <row r="464" customFormat="false" ht="15.75" hidden="false" customHeight="false" outlineLevel="0" collapsed="false">
      <c r="A464" s="16"/>
      <c r="B464" s="8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row>
    <row r="465" customFormat="false" ht="15.75" hidden="false" customHeight="false" outlineLevel="0" collapsed="false">
      <c r="A465" s="16"/>
      <c r="B465" s="8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row>
    <row r="466" customFormat="false" ht="15.75" hidden="false" customHeight="false" outlineLevel="0" collapsed="false">
      <c r="A466" s="16"/>
      <c r="B466" s="8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row>
    <row r="467" customFormat="false" ht="15.75" hidden="false" customHeight="false" outlineLevel="0" collapsed="false">
      <c r="A467" s="16"/>
      <c r="B467" s="8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row>
    <row r="468" customFormat="false" ht="15.75" hidden="false" customHeight="false" outlineLevel="0" collapsed="false">
      <c r="A468" s="16"/>
      <c r="B468" s="8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row>
    <row r="469" customFormat="false" ht="15.75" hidden="false" customHeight="false" outlineLevel="0" collapsed="false">
      <c r="A469" s="16"/>
      <c r="B469" s="8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row>
    <row r="470" customFormat="false" ht="15.75" hidden="false" customHeight="false" outlineLevel="0" collapsed="false">
      <c r="A470" s="16"/>
      <c r="B470" s="8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row>
    <row r="471" customFormat="false" ht="15.75" hidden="false" customHeight="false" outlineLevel="0" collapsed="false">
      <c r="A471" s="16"/>
      <c r="B471" s="8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row>
    <row r="472" customFormat="false" ht="15.75" hidden="false" customHeight="false" outlineLevel="0" collapsed="false">
      <c r="A472" s="16"/>
      <c r="B472" s="8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row>
    <row r="473" customFormat="false" ht="15.75" hidden="false" customHeight="false" outlineLevel="0" collapsed="false">
      <c r="A473" s="16"/>
      <c r="B473" s="8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row>
    <row r="474" customFormat="false" ht="15.75" hidden="false" customHeight="false" outlineLevel="0" collapsed="false">
      <c r="A474" s="16"/>
      <c r="B474" s="8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row>
    <row r="475" customFormat="false" ht="15.75" hidden="false" customHeight="false" outlineLevel="0" collapsed="false">
      <c r="A475" s="16"/>
      <c r="B475" s="8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row>
    <row r="476" customFormat="false" ht="15.75" hidden="false" customHeight="false" outlineLevel="0" collapsed="false">
      <c r="A476" s="16"/>
      <c r="B476" s="8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row>
    <row r="477" customFormat="false" ht="15.75" hidden="false" customHeight="false" outlineLevel="0" collapsed="false">
      <c r="A477" s="16"/>
      <c r="B477" s="8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row>
    <row r="478" customFormat="false" ht="15.75" hidden="false" customHeight="false" outlineLevel="0" collapsed="false">
      <c r="A478" s="16"/>
      <c r="B478" s="8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row>
    <row r="479" customFormat="false" ht="15.75" hidden="false" customHeight="false" outlineLevel="0" collapsed="false">
      <c r="A479" s="16"/>
      <c r="B479" s="8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row>
    <row r="480" customFormat="false" ht="15.75" hidden="false" customHeight="false" outlineLevel="0" collapsed="false">
      <c r="A480" s="16"/>
      <c r="B480" s="8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row>
    <row r="481" customFormat="false" ht="15.75" hidden="false" customHeight="false" outlineLevel="0" collapsed="false">
      <c r="A481" s="16"/>
      <c r="B481" s="8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row>
    <row r="482" customFormat="false" ht="15.75" hidden="false" customHeight="false" outlineLevel="0" collapsed="false">
      <c r="A482" s="16"/>
      <c r="B482" s="8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row>
    <row r="483" customFormat="false" ht="15.75" hidden="false" customHeight="false" outlineLevel="0" collapsed="false">
      <c r="A483" s="16"/>
      <c r="B483" s="8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row>
    <row r="484" customFormat="false" ht="15.75" hidden="false" customHeight="false" outlineLevel="0" collapsed="false">
      <c r="A484" s="16"/>
      <c r="B484" s="8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row>
    <row r="485" customFormat="false" ht="15.75" hidden="false" customHeight="false" outlineLevel="0" collapsed="false">
      <c r="A485" s="16"/>
      <c r="B485" s="8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row>
    <row r="486" customFormat="false" ht="15.75" hidden="false" customHeight="false" outlineLevel="0" collapsed="false">
      <c r="A486" s="16"/>
      <c r="B486" s="8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row>
    <row r="487" customFormat="false" ht="15.75" hidden="false" customHeight="false" outlineLevel="0" collapsed="false">
      <c r="A487" s="16"/>
      <c r="B487" s="8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row>
    <row r="488" customFormat="false" ht="15.75" hidden="false" customHeight="false" outlineLevel="0" collapsed="false">
      <c r="A488" s="16"/>
      <c r="B488" s="8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row>
    <row r="489" customFormat="false" ht="15.75" hidden="false" customHeight="false" outlineLevel="0" collapsed="false">
      <c r="A489" s="16"/>
      <c r="B489" s="8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row>
    <row r="490" customFormat="false" ht="15.75" hidden="false" customHeight="false" outlineLevel="0" collapsed="false">
      <c r="A490" s="16"/>
      <c r="B490" s="8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row>
    <row r="491" customFormat="false" ht="15.75" hidden="false" customHeight="false" outlineLevel="0" collapsed="false">
      <c r="A491" s="16"/>
      <c r="B491" s="8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row>
    <row r="492" customFormat="false" ht="15.75" hidden="false" customHeight="false" outlineLevel="0" collapsed="false">
      <c r="A492" s="16"/>
      <c r="B492" s="8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row>
    <row r="493" customFormat="false" ht="15.75" hidden="false" customHeight="false" outlineLevel="0" collapsed="false">
      <c r="A493" s="16"/>
      <c r="B493" s="8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row>
    <row r="494" customFormat="false" ht="15.75" hidden="false" customHeight="false" outlineLevel="0" collapsed="false">
      <c r="A494" s="16"/>
      <c r="B494" s="8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row>
    <row r="495" customFormat="false" ht="15.75" hidden="false" customHeight="false" outlineLevel="0" collapsed="false">
      <c r="A495" s="16"/>
      <c r="B495" s="8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row>
    <row r="496" customFormat="false" ht="15.75" hidden="false" customHeight="false" outlineLevel="0" collapsed="false">
      <c r="A496" s="16"/>
      <c r="B496" s="8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row>
    <row r="497" customFormat="false" ht="15.75" hidden="false" customHeight="false" outlineLevel="0" collapsed="false">
      <c r="A497" s="16"/>
      <c r="B497" s="8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row>
    <row r="498" customFormat="false" ht="15.75" hidden="false" customHeight="false" outlineLevel="0" collapsed="false">
      <c r="A498" s="16"/>
      <c r="B498" s="8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row>
    <row r="499" customFormat="false" ht="15.75" hidden="false" customHeight="false" outlineLevel="0" collapsed="false">
      <c r="A499" s="16"/>
      <c r="B499" s="8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row>
    <row r="500" customFormat="false" ht="15.75" hidden="false" customHeight="false" outlineLevel="0" collapsed="false">
      <c r="A500" s="16"/>
      <c r="B500" s="8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row>
    <row r="501" customFormat="false" ht="15.75" hidden="false" customHeight="false" outlineLevel="0" collapsed="false">
      <c r="A501" s="16"/>
      <c r="B501" s="8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row>
    <row r="502" customFormat="false" ht="15.75" hidden="false" customHeight="false" outlineLevel="0" collapsed="false">
      <c r="A502" s="16"/>
      <c r="B502" s="8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row>
    <row r="503" customFormat="false" ht="15.75" hidden="false" customHeight="false" outlineLevel="0" collapsed="false">
      <c r="A503" s="16"/>
      <c r="B503" s="8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row>
    <row r="504" customFormat="false" ht="15.75" hidden="false" customHeight="false" outlineLevel="0" collapsed="false">
      <c r="A504" s="16"/>
      <c r="B504" s="8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row>
    <row r="505" customFormat="false" ht="15.75" hidden="false" customHeight="false" outlineLevel="0" collapsed="false">
      <c r="A505" s="16"/>
      <c r="B505" s="8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row>
    <row r="506" customFormat="false" ht="15.75" hidden="false" customHeight="false" outlineLevel="0" collapsed="false">
      <c r="A506" s="16"/>
      <c r="B506" s="8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row>
    <row r="507" customFormat="false" ht="15.75" hidden="false" customHeight="false" outlineLevel="0" collapsed="false">
      <c r="A507" s="16"/>
      <c r="B507" s="8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row>
    <row r="508" customFormat="false" ht="15.75" hidden="false" customHeight="false" outlineLevel="0" collapsed="false">
      <c r="A508" s="16"/>
      <c r="B508" s="8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row>
    <row r="509" customFormat="false" ht="15.75" hidden="false" customHeight="false" outlineLevel="0" collapsed="false">
      <c r="A509" s="16"/>
      <c r="B509" s="8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row>
    <row r="510" customFormat="false" ht="15.75" hidden="false" customHeight="false" outlineLevel="0" collapsed="false">
      <c r="A510" s="16"/>
      <c r="B510" s="8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row>
    <row r="511" customFormat="false" ht="15.75" hidden="false" customHeight="false" outlineLevel="0" collapsed="false">
      <c r="A511" s="16"/>
      <c r="B511" s="8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row>
    <row r="512" customFormat="false" ht="15.75" hidden="false" customHeight="false" outlineLevel="0" collapsed="false">
      <c r="A512" s="16"/>
      <c r="B512" s="8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row>
    <row r="513" customFormat="false" ht="15.75" hidden="false" customHeight="false" outlineLevel="0" collapsed="false">
      <c r="A513" s="16"/>
      <c r="B513" s="8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row>
    <row r="514" customFormat="false" ht="15.75" hidden="false" customHeight="false" outlineLevel="0" collapsed="false">
      <c r="A514" s="16"/>
      <c r="B514" s="8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row>
    <row r="515" customFormat="false" ht="15.75" hidden="false" customHeight="false" outlineLevel="0" collapsed="false">
      <c r="A515" s="16"/>
      <c r="B515" s="8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row>
    <row r="516" customFormat="false" ht="15.75" hidden="false" customHeight="false" outlineLevel="0" collapsed="false">
      <c r="A516" s="16"/>
      <c r="B516" s="8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row>
    <row r="517" customFormat="false" ht="15.75" hidden="false" customHeight="false" outlineLevel="0" collapsed="false">
      <c r="A517" s="16"/>
      <c r="B517" s="8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row>
    <row r="518" customFormat="false" ht="15.75" hidden="false" customHeight="false" outlineLevel="0" collapsed="false">
      <c r="A518" s="16"/>
      <c r="B518" s="8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row>
    <row r="519" customFormat="false" ht="15.75" hidden="false" customHeight="false" outlineLevel="0" collapsed="false">
      <c r="A519" s="16"/>
      <c r="B519" s="8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row>
    <row r="520" customFormat="false" ht="15.75" hidden="false" customHeight="false" outlineLevel="0" collapsed="false">
      <c r="A520" s="16"/>
      <c r="B520" s="8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row>
    <row r="521" customFormat="false" ht="15.75" hidden="false" customHeight="false" outlineLevel="0" collapsed="false">
      <c r="A521" s="16"/>
      <c r="B521" s="8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row>
    <row r="522" customFormat="false" ht="15.75" hidden="false" customHeight="false" outlineLevel="0" collapsed="false">
      <c r="A522" s="16"/>
      <c r="B522" s="8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row>
    <row r="523" customFormat="false" ht="15.75" hidden="false" customHeight="false" outlineLevel="0" collapsed="false">
      <c r="A523" s="16"/>
      <c r="B523" s="8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row>
    <row r="524" customFormat="false" ht="15.75" hidden="false" customHeight="false" outlineLevel="0" collapsed="false">
      <c r="A524" s="16"/>
      <c r="B524" s="8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row>
    <row r="525" customFormat="false" ht="15.75" hidden="false" customHeight="false" outlineLevel="0" collapsed="false">
      <c r="A525" s="16"/>
      <c r="B525" s="8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row>
    <row r="526" customFormat="false" ht="15.75" hidden="false" customHeight="false" outlineLevel="0" collapsed="false">
      <c r="A526" s="16"/>
      <c r="B526" s="8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row>
    <row r="527" customFormat="false" ht="15.75" hidden="false" customHeight="false" outlineLevel="0" collapsed="false">
      <c r="A527" s="16"/>
      <c r="B527" s="8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row>
    <row r="528" customFormat="false" ht="15.75" hidden="false" customHeight="false" outlineLevel="0" collapsed="false">
      <c r="A528" s="16"/>
      <c r="B528" s="8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row>
    <row r="529" customFormat="false" ht="15.75" hidden="false" customHeight="false" outlineLevel="0" collapsed="false">
      <c r="A529" s="16"/>
      <c r="B529" s="8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row>
    <row r="530" customFormat="false" ht="15.75" hidden="false" customHeight="false" outlineLevel="0" collapsed="false">
      <c r="A530" s="16"/>
      <c r="B530" s="8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row>
    <row r="531" customFormat="false" ht="15.75" hidden="false" customHeight="false" outlineLevel="0" collapsed="false">
      <c r="A531" s="16"/>
      <c r="B531" s="8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row>
    <row r="532" customFormat="false" ht="15.75" hidden="false" customHeight="false" outlineLevel="0" collapsed="false">
      <c r="A532" s="16"/>
      <c r="B532" s="8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row>
    <row r="533" customFormat="false" ht="15.75" hidden="false" customHeight="false" outlineLevel="0" collapsed="false">
      <c r="A533" s="16"/>
      <c r="B533" s="8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row>
    <row r="534" customFormat="false" ht="15.75" hidden="false" customHeight="false" outlineLevel="0" collapsed="false">
      <c r="A534" s="16"/>
      <c r="B534" s="8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row>
    <row r="535" customFormat="false" ht="15.75" hidden="false" customHeight="false" outlineLevel="0" collapsed="false">
      <c r="A535" s="16"/>
      <c r="B535" s="8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row>
    <row r="536" customFormat="false" ht="15.75" hidden="false" customHeight="false" outlineLevel="0" collapsed="false">
      <c r="A536" s="16"/>
      <c r="B536" s="8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row>
    <row r="537" customFormat="false" ht="15.75" hidden="false" customHeight="false" outlineLevel="0" collapsed="false">
      <c r="A537" s="16"/>
      <c r="B537" s="8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row>
    <row r="538" customFormat="false" ht="15.75" hidden="false" customHeight="false" outlineLevel="0" collapsed="false">
      <c r="A538" s="16"/>
      <c r="B538" s="8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row>
    <row r="539" customFormat="false" ht="15.75" hidden="false" customHeight="false" outlineLevel="0" collapsed="false">
      <c r="A539" s="16"/>
      <c r="B539" s="8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row>
    <row r="540" customFormat="false" ht="15.75" hidden="false" customHeight="false" outlineLevel="0" collapsed="false">
      <c r="A540" s="16"/>
      <c r="B540" s="8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row>
    <row r="541" customFormat="false" ht="15.75" hidden="false" customHeight="false" outlineLevel="0" collapsed="false">
      <c r="A541" s="16"/>
      <c r="B541" s="8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row>
    <row r="542" customFormat="false" ht="15.75" hidden="false" customHeight="false" outlineLevel="0" collapsed="false">
      <c r="A542" s="16"/>
      <c r="B542" s="8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row>
    <row r="543" customFormat="false" ht="15.75" hidden="false" customHeight="false" outlineLevel="0" collapsed="false">
      <c r="A543" s="16"/>
      <c r="B543" s="8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row>
    <row r="544" customFormat="false" ht="15.75" hidden="false" customHeight="false" outlineLevel="0" collapsed="false">
      <c r="A544" s="16"/>
      <c r="B544" s="8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row>
    <row r="545" customFormat="false" ht="15.75" hidden="false" customHeight="false" outlineLevel="0" collapsed="false">
      <c r="A545" s="16"/>
      <c r="B545" s="8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row>
    <row r="546" customFormat="false" ht="15.75" hidden="false" customHeight="false" outlineLevel="0" collapsed="false">
      <c r="A546" s="16"/>
      <c r="B546" s="8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row>
    <row r="547" customFormat="false" ht="15.75" hidden="false" customHeight="false" outlineLevel="0" collapsed="false">
      <c r="A547" s="16"/>
      <c r="B547" s="8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row>
    <row r="548" customFormat="false" ht="15.75" hidden="false" customHeight="false" outlineLevel="0" collapsed="false">
      <c r="A548" s="16"/>
      <c r="B548" s="8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row>
    <row r="549" customFormat="false" ht="15.75" hidden="false" customHeight="false" outlineLevel="0" collapsed="false">
      <c r="A549" s="16"/>
      <c r="B549" s="8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row>
    <row r="550" customFormat="false" ht="15.75" hidden="false" customHeight="false" outlineLevel="0" collapsed="false">
      <c r="A550" s="16"/>
      <c r="B550" s="8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row>
    <row r="551" customFormat="false" ht="15.75" hidden="false" customHeight="false" outlineLevel="0" collapsed="false">
      <c r="A551" s="16"/>
      <c r="B551" s="8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row>
    <row r="552" customFormat="false" ht="15.75" hidden="false" customHeight="false" outlineLevel="0" collapsed="false">
      <c r="A552" s="16"/>
      <c r="B552" s="8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row>
    <row r="553" customFormat="false" ht="15.75" hidden="false" customHeight="false" outlineLevel="0" collapsed="false">
      <c r="A553" s="16"/>
      <c r="B553" s="8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row>
    <row r="554" customFormat="false" ht="15.75" hidden="false" customHeight="false" outlineLevel="0" collapsed="false">
      <c r="A554" s="16"/>
      <c r="B554" s="8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row>
    <row r="555" customFormat="false" ht="15.75" hidden="false" customHeight="false" outlineLevel="0" collapsed="false">
      <c r="A555" s="16"/>
      <c r="B555" s="8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row>
    <row r="556" customFormat="false" ht="15.75" hidden="false" customHeight="false" outlineLevel="0" collapsed="false">
      <c r="A556" s="16"/>
      <c r="B556" s="8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row>
    <row r="557" customFormat="false" ht="15.75" hidden="false" customHeight="false" outlineLevel="0" collapsed="false">
      <c r="A557" s="16"/>
      <c r="B557" s="8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row>
    <row r="558" customFormat="false" ht="15.75" hidden="false" customHeight="false" outlineLevel="0" collapsed="false">
      <c r="A558" s="16"/>
      <c r="B558" s="8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row>
    <row r="559" customFormat="false" ht="15.75" hidden="false" customHeight="false" outlineLevel="0" collapsed="false">
      <c r="A559" s="16"/>
      <c r="B559" s="8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row>
    <row r="560" customFormat="false" ht="15.75" hidden="false" customHeight="false" outlineLevel="0" collapsed="false">
      <c r="A560" s="16"/>
      <c r="B560" s="8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row>
    <row r="561" customFormat="false" ht="15.75" hidden="false" customHeight="false" outlineLevel="0" collapsed="false">
      <c r="A561" s="16"/>
      <c r="B561" s="8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row>
    <row r="562" customFormat="false" ht="15.75" hidden="false" customHeight="false" outlineLevel="0" collapsed="false">
      <c r="A562" s="16"/>
      <c r="B562" s="8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row>
    <row r="563" customFormat="false" ht="15.75" hidden="false" customHeight="false" outlineLevel="0" collapsed="false">
      <c r="A563" s="16"/>
      <c r="B563" s="8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row>
    <row r="564" customFormat="false" ht="15.75" hidden="false" customHeight="false" outlineLevel="0" collapsed="false">
      <c r="A564" s="16"/>
      <c r="B564" s="8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row>
    <row r="565" customFormat="false" ht="15.75" hidden="false" customHeight="false" outlineLevel="0" collapsed="false">
      <c r="A565" s="16"/>
      <c r="B565" s="8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row>
    <row r="566" customFormat="false" ht="15.75" hidden="false" customHeight="false" outlineLevel="0" collapsed="false">
      <c r="A566" s="16"/>
      <c r="B566" s="8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row>
    <row r="567" customFormat="false" ht="15.75" hidden="false" customHeight="false" outlineLevel="0" collapsed="false">
      <c r="A567" s="16"/>
      <c r="B567" s="8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row>
    <row r="568" customFormat="false" ht="15.75" hidden="false" customHeight="false" outlineLevel="0" collapsed="false">
      <c r="A568" s="16"/>
      <c r="B568" s="8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row>
    <row r="569" customFormat="false" ht="15.75" hidden="false" customHeight="false" outlineLevel="0" collapsed="false">
      <c r="A569" s="16"/>
      <c r="B569" s="8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row>
    <row r="570" customFormat="false" ht="15.75" hidden="false" customHeight="false" outlineLevel="0" collapsed="false">
      <c r="A570" s="16"/>
      <c r="B570" s="8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row>
    <row r="571" customFormat="false" ht="15.75" hidden="false" customHeight="false" outlineLevel="0" collapsed="false">
      <c r="A571" s="16"/>
      <c r="B571" s="8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row>
    <row r="572" customFormat="false" ht="15.75" hidden="false" customHeight="false" outlineLevel="0" collapsed="false">
      <c r="A572" s="16"/>
      <c r="B572" s="8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row>
    <row r="573" customFormat="false" ht="15.75" hidden="false" customHeight="false" outlineLevel="0" collapsed="false">
      <c r="A573" s="16"/>
      <c r="B573" s="8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row>
    <row r="574" customFormat="false" ht="15.75" hidden="false" customHeight="false" outlineLevel="0" collapsed="false">
      <c r="A574" s="16"/>
      <c r="B574" s="8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row>
    <row r="575" customFormat="false" ht="15.75" hidden="false" customHeight="false" outlineLevel="0" collapsed="false">
      <c r="A575" s="16"/>
      <c r="B575" s="8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row>
    <row r="576" customFormat="false" ht="15.75" hidden="false" customHeight="false" outlineLevel="0" collapsed="false">
      <c r="A576" s="16"/>
      <c r="B576" s="8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row>
    <row r="577" customFormat="false" ht="15.75" hidden="false" customHeight="false" outlineLevel="0" collapsed="false">
      <c r="A577" s="16"/>
      <c r="B577" s="8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row>
    <row r="578" customFormat="false" ht="15.75" hidden="false" customHeight="false" outlineLevel="0" collapsed="false">
      <c r="A578" s="16"/>
      <c r="B578" s="8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row>
    <row r="579" customFormat="false" ht="15.75" hidden="false" customHeight="false" outlineLevel="0" collapsed="false">
      <c r="A579" s="16"/>
      <c r="B579" s="8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row>
    <row r="580" customFormat="false" ht="15.75" hidden="false" customHeight="false" outlineLevel="0" collapsed="false">
      <c r="A580" s="16"/>
      <c r="B580" s="8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row>
    <row r="581" customFormat="false" ht="15.75" hidden="false" customHeight="false" outlineLevel="0" collapsed="false">
      <c r="A581" s="16"/>
      <c r="B581" s="8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row>
    <row r="582" customFormat="false" ht="15.75" hidden="false" customHeight="false" outlineLevel="0" collapsed="false">
      <c r="A582" s="16"/>
      <c r="B582" s="8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row>
    <row r="583" customFormat="false" ht="15.75" hidden="false" customHeight="false" outlineLevel="0" collapsed="false">
      <c r="A583" s="16"/>
      <c r="B583" s="8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row>
    <row r="584" customFormat="false" ht="15.75" hidden="false" customHeight="false" outlineLevel="0" collapsed="false">
      <c r="A584" s="16"/>
      <c r="B584" s="8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row>
    <row r="585" customFormat="false" ht="15.75" hidden="false" customHeight="false" outlineLevel="0" collapsed="false">
      <c r="A585" s="16"/>
      <c r="B585" s="8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row>
    <row r="586" customFormat="false" ht="15.75" hidden="false" customHeight="false" outlineLevel="0" collapsed="false">
      <c r="A586" s="16"/>
      <c r="B586" s="8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row>
    <row r="587" customFormat="false" ht="15.75" hidden="false" customHeight="false" outlineLevel="0" collapsed="false">
      <c r="A587" s="16"/>
      <c r="B587" s="8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row>
    <row r="588" customFormat="false" ht="15.75" hidden="false" customHeight="false" outlineLevel="0" collapsed="false">
      <c r="A588" s="16"/>
      <c r="B588" s="8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row>
    <row r="589" customFormat="false" ht="15.75" hidden="false" customHeight="false" outlineLevel="0" collapsed="false">
      <c r="A589" s="16"/>
      <c r="B589" s="8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row>
    <row r="590" customFormat="false" ht="15.75" hidden="false" customHeight="false" outlineLevel="0" collapsed="false">
      <c r="A590" s="16"/>
      <c r="B590" s="8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row>
    <row r="591" customFormat="false" ht="15.75" hidden="false" customHeight="false" outlineLevel="0" collapsed="false">
      <c r="A591" s="16"/>
      <c r="B591" s="8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row>
    <row r="592" customFormat="false" ht="15.75" hidden="false" customHeight="false" outlineLevel="0" collapsed="false">
      <c r="A592" s="16"/>
      <c r="B592" s="8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row>
    <row r="593" customFormat="false" ht="15.75" hidden="false" customHeight="false" outlineLevel="0" collapsed="false">
      <c r="A593" s="16"/>
      <c r="B593" s="8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row>
    <row r="594" customFormat="false" ht="15.75" hidden="false" customHeight="false" outlineLevel="0" collapsed="false">
      <c r="A594" s="16"/>
      <c r="B594" s="8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row>
    <row r="595" customFormat="false" ht="15.75" hidden="false" customHeight="false" outlineLevel="0" collapsed="false">
      <c r="A595" s="16"/>
      <c r="B595" s="8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row>
    <row r="596" customFormat="false" ht="15.75" hidden="false" customHeight="false" outlineLevel="0" collapsed="false">
      <c r="A596" s="16"/>
      <c r="B596" s="8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row>
    <row r="597" customFormat="false" ht="15.75" hidden="false" customHeight="false" outlineLevel="0" collapsed="false">
      <c r="A597" s="16"/>
      <c r="B597" s="8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row>
    <row r="598" customFormat="false" ht="15.75" hidden="false" customHeight="false" outlineLevel="0" collapsed="false">
      <c r="A598" s="16"/>
      <c r="B598" s="8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row>
    <row r="599" customFormat="false" ht="15.75" hidden="false" customHeight="false" outlineLevel="0" collapsed="false">
      <c r="A599" s="16"/>
      <c r="B599" s="8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row>
    <row r="600" customFormat="false" ht="15.75" hidden="false" customHeight="false" outlineLevel="0" collapsed="false">
      <c r="A600" s="16"/>
      <c r="B600" s="8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row>
    <row r="601" customFormat="false" ht="15.75" hidden="false" customHeight="false" outlineLevel="0" collapsed="false">
      <c r="A601" s="16"/>
      <c r="B601" s="8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row>
    <row r="602" customFormat="false" ht="15.75" hidden="false" customHeight="false" outlineLevel="0" collapsed="false">
      <c r="A602" s="16"/>
      <c r="B602" s="8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row>
    <row r="603" customFormat="false" ht="15.75" hidden="false" customHeight="false" outlineLevel="0" collapsed="false">
      <c r="A603" s="16"/>
      <c r="B603" s="8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row>
    <row r="604" customFormat="false" ht="15.75" hidden="false" customHeight="false" outlineLevel="0" collapsed="false">
      <c r="A604" s="16"/>
      <c r="B604" s="8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row>
    <row r="605" customFormat="false" ht="15.75" hidden="false" customHeight="false" outlineLevel="0" collapsed="false">
      <c r="A605" s="16"/>
      <c r="B605" s="8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row>
    <row r="606" customFormat="false" ht="15.75" hidden="false" customHeight="false" outlineLevel="0" collapsed="false">
      <c r="A606" s="16"/>
      <c r="B606" s="8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row>
    <row r="607" customFormat="false" ht="15.75" hidden="false" customHeight="false" outlineLevel="0" collapsed="false">
      <c r="A607" s="16"/>
      <c r="B607" s="8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row>
    <row r="608" customFormat="false" ht="15.75" hidden="false" customHeight="false" outlineLevel="0" collapsed="false">
      <c r="A608" s="16"/>
      <c r="B608" s="8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row>
    <row r="609" customFormat="false" ht="15.75" hidden="false" customHeight="false" outlineLevel="0" collapsed="false">
      <c r="A609" s="16"/>
      <c r="B609" s="8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row>
    <row r="610" customFormat="false" ht="15.75" hidden="false" customHeight="false" outlineLevel="0" collapsed="false">
      <c r="A610" s="16"/>
      <c r="B610" s="8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row>
    <row r="611" customFormat="false" ht="15.75" hidden="false" customHeight="false" outlineLevel="0" collapsed="false">
      <c r="A611" s="16"/>
      <c r="B611" s="8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row>
    <row r="612" customFormat="false" ht="15.75" hidden="false" customHeight="false" outlineLevel="0" collapsed="false">
      <c r="A612" s="16"/>
      <c r="B612" s="8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row>
    <row r="613" customFormat="false" ht="15.75" hidden="false" customHeight="false" outlineLevel="0" collapsed="false">
      <c r="A613" s="16"/>
      <c r="B613" s="8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row>
    <row r="614" customFormat="false" ht="15.75" hidden="false" customHeight="false" outlineLevel="0" collapsed="false">
      <c r="A614" s="16"/>
      <c r="B614" s="8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row>
    <row r="615" customFormat="false" ht="15.75" hidden="false" customHeight="false" outlineLevel="0" collapsed="false">
      <c r="A615" s="16"/>
      <c r="B615" s="8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row>
    <row r="616" customFormat="false" ht="15.75" hidden="false" customHeight="false" outlineLevel="0" collapsed="false">
      <c r="A616" s="16"/>
      <c r="B616" s="8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row>
    <row r="617" customFormat="false" ht="15.75" hidden="false" customHeight="false" outlineLevel="0" collapsed="false">
      <c r="A617" s="16"/>
      <c r="B617" s="8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row>
    <row r="618" customFormat="false" ht="15.75" hidden="false" customHeight="false" outlineLevel="0" collapsed="false">
      <c r="A618" s="16"/>
      <c r="B618" s="8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row>
    <row r="619" customFormat="false" ht="15.75" hidden="false" customHeight="false" outlineLevel="0" collapsed="false">
      <c r="A619" s="16"/>
      <c r="B619" s="8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row>
    <row r="620" customFormat="false" ht="15.75" hidden="false" customHeight="false" outlineLevel="0" collapsed="false">
      <c r="A620" s="16"/>
      <c r="B620" s="8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row>
    <row r="621" customFormat="false" ht="15.75" hidden="false" customHeight="false" outlineLevel="0" collapsed="false">
      <c r="A621" s="16"/>
      <c r="B621" s="8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row>
    <row r="622" customFormat="false" ht="15.75" hidden="false" customHeight="false" outlineLevel="0" collapsed="false">
      <c r="A622" s="16"/>
      <c r="B622" s="8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row>
    <row r="623" customFormat="false" ht="15.75" hidden="false" customHeight="false" outlineLevel="0" collapsed="false">
      <c r="A623" s="16"/>
      <c r="B623" s="8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row>
    <row r="624" customFormat="false" ht="15.75" hidden="false" customHeight="false" outlineLevel="0" collapsed="false">
      <c r="A624" s="16"/>
      <c r="B624" s="8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row>
    <row r="625" customFormat="false" ht="15.75" hidden="false" customHeight="false" outlineLevel="0" collapsed="false">
      <c r="A625" s="16"/>
      <c r="B625" s="8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row>
    <row r="626" customFormat="false" ht="15.75" hidden="false" customHeight="false" outlineLevel="0" collapsed="false">
      <c r="A626" s="16"/>
      <c r="B626" s="8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row>
    <row r="627" customFormat="false" ht="15.75" hidden="false" customHeight="false" outlineLevel="0" collapsed="false">
      <c r="A627" s="16"/>
      <c r="B627" s="8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row>
    <row r="628" customFormat="false" ht="15.75" hidden="false" customHeight="false" outlineLevel="0" collapsed="false">
      <c r="A628" s="16"/>
      <c r="B628" s="8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row>
    <row r="629" customFormat="false" ht="15.75" hidden="false" customHeight="false" outlineLevel="0" collapsed="false">
      <c r="A629" s="16"/>
      <c r="B629" s="8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row>
    <row r="630" customFormat="false" ht="15.75" hidden="false" customHeight="false" outlineLevel="0" collapsed="false">
      <c r="A630" s="16"/>
      <c r="B630" s="8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row>
    <row r="631" customFormat="false" ht="15.75" hidden="false" customHeight="false" outlineLevel="0" collapsed="false">
      <c r="A631" s="16"/>
      <c r="B631" s="8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row>
    <row r="632" customFormat="false" ht="15.75" hidden="false" customHeight="false" outlineLevel="0" collapsed="false">
      <c r="A632" s="16"/>
      <c r="B632" s="8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row>
    <row r="633" customFormat="false" ht="15.75" hidden="false" customHeight="false" outlineLevel="0" collapsed="false">
      <c r="A633" s="16"/>
      <c r="B633" s="8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row>
    <row r="634" customFormat="false" ht="15.75" hidden="false" customHeight="false" outlineLevel="0" collapsed="false">
      <c r="A634" s="16"/>
      <c r="B634" s="8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row>
    <row r="635" customFormat="false" ht="15.75" hidden="false" customHeight="false" outlineLevel="0" collapsed="false">
      <c r="A635" s="16"/>
      <c r="B635" s="8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row>
    <row r="636" customFormat="false" ht="15.75" hidden="false" customHeight="false" outlineLevel="0" collapsed="false">
      <c r="A636" s="16"/>
      <c r="B636" s="8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row>
    <row r="637" customFormat="false" ht="15.75" hidden="false" customHeight="false" outlineLevel="0" collapsed="false">
      <c r="A637" s="16"/>
      <c r="B637" s="8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row>
    <row r="638" customFormat="false" ht="15.75" hidden="false" customHeight="false" outlineLevel="0" collapsed="false">
      <c r="A638" s="16"/>
      <c r="B638" s="8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row>
    <row r="639" customFormat="false" ht="15.75" hidden="false" customHeight="false" outlineLevel="0" collapsed="false">
      <c r="A639" s="16"/>
      <c r="B639" s="8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row>
    <row r="640" customFormat="false" ht="15.75" hidden="false" customHeight="false" outlineLevel="0" collapsed="false">
      <c r="A640" s="16"/>
      <c r="B640" s="8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row>
    <row r="641" customFormat="false" ht="15.75" hidden="false" customHeight="false" outlineLevel="0" collapsed="false">
      <c r="A641" s="16"/>
      <c r="B641" s="8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row>
    <row r="642" customFormat="false" ht="15.75" hidden="false" customHeight="false" outlineLevel="0" collapsed="false">
      <c r="A642" s="16"/>
      <c r="B642" s="8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row>
    <row r="643" customFormat="false" ht="15.75" hidden="false" customHeight="false" outlineLevel="0" collapsed="false">
      <c r="A643" s="16"/>
      <c r="B643" s="8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row>
    <row r="644" customFormat="false" ht="15.75" hidden="false" customHeight="false" outlineLevel="0" collapsed="false">
      <c r="A644" s="16"/>
      <c r="B644" s="8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row>
    <row r="645" customFormat="false" ht="15.75" hidden="false" customHeight="false" outlineLevel="0" collapsed="false">
      <c r="A645" s="16"/>
      <c r="B645" s="8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row>
    <row r="646" customFormat="false" ht="15.75" hidden="false" customHeight="false" outlineLevel="0" collapsed="false">
      <c r="A646" s="16"/>
      <c r="B646" s="8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row>
    <row r="647" customFormat="false" ht="15.75" hidden="false" customHeight="false" outlineLevel="0" collapsed="false">
      <c r="A647" s="16"/>
      <c r="B647" s="8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row>
    <row r="648" customFormat="false" ht="15.75" hidden="false" customHeight="false" outlineLevel="0" collapsed="false">
      <c r="A648" s="16"/>
      <c r="B648" s="8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row>
    <row r="649" customFormat="false" ht="15.75" hidden="false" customHeight="false" outlineLevel="0" collapsed="false">
      <c r="A649" s="16"/>
      <c r="B649" s="8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row>
    <row r="650" customFormat="false" ht="15.75" hidden="false" customHeight="false" outlineLevel="0" collapsed="false">
      <c r="A650" s="16"/>
      <c r="B650" s="8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row>
    <row r="651" customFormat="false" ht="15.75" hidden="false" customHeight="false" outlineLevel="0" collapsed="false">
      <c r="A651" s="16"/>
      <c r="B651" s="8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row>
    <row r="652" customFormat="false" ht="15.75" hidden="false" customHeight="false" outlineLevel="0" collapsed="false">
      <c r="A652" s="16"/>
      <c r="B652" s="8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row>
    <row r="653" customFormat="false" ht="15.75" hidden="false" customHeight="false" outlineLevel="0" collapsed="false">
      <c r="A653" s="16"/>
      <c r="B653" s="8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row>
    <row r="654" customFormat="false" ht="15.75" hidden="false" customHeight="false" outlineLevel="0" collapsed="false">
      <c r="A654" s="16"/>
      <c r="B654" s="8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row>
    <row r="655" customFormat="false" ht="15.75" hidden="false" customHeight="false" outlineLevel="0" collapsed="false">
      <c r="A655" s="16"/>
      <c r="B655" s="8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row>
    <row r="656" customFormat="false" ht="15.75" hidden="false" customHeight="false" outlineLevel="0" collapsed="false">
      <c r="A656" s="16"/>
      <c r="B656" s="8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row>
    <row r="657" customFormat="false" ht="15.75" hidden="false" customHeight="false" outlineLevel="0" collapsed="false">
      <c r="A657" s="16"/>
      <c r="B657" s="8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row>
    <row r="658" customFormat="false" ht="15.75" hidden="false" customHeight="false" outlineLevel="0" collapsed="false">
      <c r="A658" s="16"/>
      <c r="B658" s="8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row>
    <row r="659" customFormat="false" ht="15.75" hidden="false" customHeight="false" outlineLevel="0" collapsed="false">
      <c r="A659" s="16"/>
      <c r="B659" s="8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row>
    <row r="660" customFormat="false" ht="15.75" hidden="false" customHeight="false" outlineLevel="0" collapsed="false">
      <c r="A660" s="16"/>
      <c r="B660" s="8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row>
    <row r="661" customFormat="false" ht="15.75" hidden="false" customHeight="false" outlineLevel="0" collapsed="false">
      <c r="A661" s="16"/>
      <c r="B661" s="8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row>
    <row r="662" customFormat="false" ht="15.75" hidden="false" customHeight="false" outlineLevel="0" collapsed="false">
      <c r="A662" s="16"/>
      <c r="B662" s="8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row>
    <row r="663" customFormat="false" ht="15.75" hidden="false" customHeight="false" outlineLevel="0" collapsed="false">
      <c r="A663" s="16"/>
      <c r="B663" s="8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row>
    <row r="664" customFormat="false" ht="15.75" hidden="false" customHeight="false" outlineLevel="0" collapsed="false">
      <c r="A664" s="16"/>
      <c r="B664" s="8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row>
    <row r="665" customFormat="false" ht="15.75" hidden="false" customHeight="false" outlineLevel="0" collapsed="false">
      <c r="A665" s="16"/>
      <c r="B665" s="8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row>
    <row r="666" customFormat="false" ht="15.75" hidden="false" customHeight="false" outlineLevel="0" collapsed="false">
      <c r="A666" s="16"/>
      <c r="B666" s="8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row>
    <row r="667" customFormat="false" ht="15.75" hidden="false" customHeight="false" outlineLevel="0" collapsed="false">
      <c r="A667" s="16"/>
      <c r="B667" s="8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row>
    <row r="668" customFormat="false" ht="15.75" hidden="false" customHeight="false" outlineLevel="0" collapsed="false">
      <c r="A668" s="16"/>
      <c r="B668" s="8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row>
    <row r="669" customFormat="false" ht="15.75" hidden="false" customHeight="false" outlineLevel="0" collapsed="false">
      <c r="A669" s="16"/>
      <c r="B669" s="8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row>
    <row r="670" customFormat="false" ht="15.75" hidden="false" customHeight="false" outlineLevel="0" collapsed="false">
      <c r="A670" s="16"/>
      <c r="B670" s="8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row>
    <row r="671" customFormat="false" ht="15.75" hidden="false" customHeight="false" outlineLevel="0" collapsed="false">
      <c r="A671" s="16"/>
      <c r="B671" s="8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row>
    <row r="672" customFormat="false" ht="15.75" hidden="false" customHeight="false" outlineLevel="0" collapsed="false">
      <c r="A672" s="16"/>
      <c r="B672" s="8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row>
    <row r="673" customFormat="false" ht="15.75" hidden="false" customHeight="false" outlineLevel="0" collapsed="false">
      <c r="A673" s="16"/>
      <c r="B673" s="8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row>
    <row r="674" customFormat="false" ht="15.75" hidden="false" customHeight="false" outlineLevel="0" collapsed="false">
      <c r="A674" s="16"/>
      <c r="B674" s="8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row>
    <row r="675" customFormat="false" ht="15.75" hidden="false" customHeight="false" outlineLevel="0" collapsed="false">
      <c r="A675" s="16"/>
      <c r="B675" s="8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row>
    <row r="676" customFormat="false" ht="15.75" hidden="false" customHeight="false" outlineLevel="0" collapsed="false">
      <c r="A676" s="16"/>
      <c r="B676" s="8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row>
    <row r="677" customFormat="false" ht="15.75" hidden="false" customHeight="false" outlineLevel="0" collapsed="false">
      <c r="A677" s="16"/>
      <c r="B677" s="8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row>
    <row r="678" customFormat="false" ht="15.75" hidden="false" customHeight="false" outlineLevel="0" collapsed="false">
      <c r="A678" s="16"/>
      <c r="B678" s="8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row>
    <row r="679" customFormat="false" ht="15.75" hidden="false" customHeight="false" outlineLevel="0" collapsed="false">
      <c r="A679" s="16"/>
      <c r="B679" s="8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row>
    <row r="680" customFormat="false" ht="15.75" hidden="false" customHeight="false" outlineLevel="0" collapsed="false">
      <c r="A680" s="16"/>
      <c r="B680" s="8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row>
    <row r="681" customFormat="false" ht="15.75" hidden="false" customHeight="false" outlineLevel="0" collapsed="false">
      <c r="A681" s="16"/>
      <c r="B681" s="8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row>
    <row r="682" customFormat="false" ht="15.75" hidden="false" customHeight="false" outlineLevel="0" collapsed="false">
      <c r="A682" s="16"/>
      <c r="B682" s="8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row>
    <row r="683" customFormat="false" ht="15.75" hidden="false" customHeight="false" outlineLevel="0" collapsed="false">
      <c r="A683" s="16"/>
      <c r="B683" s="8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row>
    <row r="684" customFormat="false" ht="15.75" hidden="false" customHeight="false" outlineLevel="0" collapsed="false">
      <c r="A684" s="16"/>
      <c r="B684" s="8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row>
    <row r="685" customFormat="false" ht="15.75" hidden="false" customHeight="false" outlineLevel="0" collapsed="false">
      <c r="A685" s="16"/>
      <c r="B685" s="8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row>
    <row r="686" customFormat="false" ht="15.75" hidden="false" customHeight="false" outlineLevel="0" collapsed="false">
      <c r="A686" s="16"/>
      <c r="B686" s="8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row>
    <row r="687" customFormat="false" ht="15.75" hidden="false" customHeight="false" outlineLevel="0" collapsed="false">
      <c r="A687" s="16"/>
      <c r="B687" s="8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row>
    <row r="688" customFormat="false" ht="15.75" hidden="false" customHeight="false" outlineLevel="0" collapsed="false">
      <c r="A688" s="16"/>
      <c r="B688" s="8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row>
    <row r="689" customFormat="false" ht="15.75" hidden="false" customHeight="false" outlineLevel="0" collapsed="false">
      <c r="A689" s="16"/>
      <c r="B689" s="8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row>
    <row r="690" customFormat="false" ht="15.75" hidden="false" customHeight="false" outlineLevel="0" collapsed="false">
      <c r="A690" s="16"/>
      <c r="B690" s="8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row>
    <row r="691" customFormat="false" ht="15.75" hidden="false" customHeight="false" outlineLevel="0" collapsed="false">
      <c r="A691" s="16"/>
      <c r="B691" s="8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row>
    <row r="692" customFormat="false" ht="15.75" hidden="false" customHeight="false" outlineLevel="0" collapsed="false">
      <c r="A692" s="16"/>
      <c r="B692" s="8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row>
    <row r="693" customFormat="false" ht="15.75" hidden="false" customHeight="false" outlineLevel="0" collapsed="false">
      <c r="A693" s="16"/>
      <c r="B693" s="8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row>
    <row r="694" customFormat="false" ht="15.75" hidden="false" customHeight="false" outlineLevel="0" collapsed="false">
      <c r="A694" s="16"/>
      <c r="B694" s="8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row>
    <row r="695" customFormat="false" ht="15.75" hidden="false" customHeight="false" outlineLevel="0" collapsed="false">
      <c r="A695" s="16"/>
      <c r="B695" s="8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row>
    <row r="696" customFormat="false" ht="15.75" hidden="false" customHeight="false" outlineLevel="0" collapsed="false">
      <c r="A696" s="16"/>
      <c r="B696" s="8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row>
    <row r="697" customFormat="false" ht="15.75" hidden="false" customHeight="false" outlineLevel="0" collapsed="false">
      <c r="A697" s="16"/>
      <c r="B697" s="8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row>
    <row r="698" customFormat="false" ht="15.75" hidden="false" customHeight="false" outlineLevel="0" collapsed="false">
      <c r="A698" s="16"/>
      <c r="B698" s="8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row>
    <row r="699" customFormat="false" ht="15.75" hidden="false" customHeight="false" outlineLevel="0" collapsed="false">
      <c r="A699" s="16"/>
      <c r="B699" s="8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row>
    <row r="700" customFormat="false" ht="15.75" hidden="false" customHeight="false" outlineLevel="0" collapsed="false">
      <c r="A700" s="16"/>
      <c r="B700" s="8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row>
    <row r="701" customFormat="false" ht="15.75" hidden="false" customHeight="false" outlineLevel="0" collapsed="false">
      <c r="A701" s="16"/>
      <c r="B701" s="8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row>
    <row r="702" customFormat="false" ht="15.75" hidden="false" customHeight="false" outlineLevel="0" collapsed="false">
      <c r="A702" s="16"/>
      <c r="B702" s="8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row>
    <row r="703" customFormat="false" ht="15.75" hidden="false" customHeight="false" outlineLevel="0" collapsed="false">
      <c r="A703" s="16"/>
      <c r="B703" s="8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row>
    <row r="704" customFormat="false" ht="15.75" hidden="false" customHeight="false" outlineLevel="0" collapsed="false">
      <c r="A704" s="16"/>
      <c r="B704" s="8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row>
    <row r="705" customFormat="false" ht="15.75" hidden="false" customHeight="false" outlineLevel="0" collapsed="false">
      <c r="A705" s="16"/>
      <c r="B705" s="8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row>
    <row r="706" customFormat="false" ht="15.75" hidden="false" customHeight="false" outlineLevel="0" collapsed="false">
      <c r="A706" s="16"/>
      <c r="B706" s="8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row>
    <row r="707" customFormat="false" ht="15.75" hidden="false" customHeight="false" outlineLevel="0" collapsed="false">
      <c r="A707" s="16"/>
      <c r="B707" s="8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row>
    <row r="708" customFormat="false" ht="15.75" hidden="false" customHeight="false" outlineLevel="0" collapsed="false">
      <c r="A708" s="16"/>
      <c r="B708" s="8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row>
    <row r="709" customFormat="false" ht="15.75" hidden="false" customHeight="false" outlineLevel="0" collapsed="false">
      <c r="A709" s="16"/>
      <c r="B709" s="8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row>
    <row r="710" customFormat="false" ht="15.75" hidden="false" customHeight="false" outlineLevel="0" collapsed="false">
      <c r="A710" s="16"/>
      <c r="B710" s="8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row>
    <row r="711" customFormat="false" ht="15.75" hidden="false" customHeight="false" outlineLevel="0" collapsed="false">
      <c r="A711" s="16"/>
      <c r="B711" s="8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row>
    <row r="712" customFormat="false" ht="15.75" hidden="false" customHeight="false" outlineLevel="0" collapsed="false">
      <c r="A712" s="16"/>
      <c r="B712" s="8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row>
    <row r="713" customFormat="false" ht="15.75" hidden="false" customHeight="false" outlineLevel="0" collapsed="false">
      <c r="A713" s="16"/>
      <c r="B713" s="8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row>
    <row r="714" customFormat="false" ht="15.75" hidden="false" customHeight="false" outlineLevel="0" collapsed="false">
      <c r="A714" s="16"/>
      <c r="B714" s="8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row>
    <row r="715" customFormat="false" ht="15.75" hidden="false" customHeight="false" outlineLevel="0" collapsed="false">
      <c r="A715" s="16"/>
      <c r="B715" s="8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row>
    <row r="716" customFormat="false" ht="15.75" hidden="false" customHeight="false" outlineLevel="0" collapsed="false">
      <c r="A716" s="16"/>
      <c r="B716" s="8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row>
    <row r="717" customFormat="false" ht="15.75" hidden="false" customHeight="false" outlineLevel="0" collapsed="false">
      <c r="A717" s="16"/>
      <c r="B717" s="8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row>
    <row r="718" customFormat="false" ht="15.75" hidden="false" customHeight="false" outlineLevel="0" collapsed="false">
      <c r="A718" s="16"/>
      <c r="B718" s="8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row>
    <row r="719" customFormat="false" ht="15.75" hidden="false" customHeight="false" outlineLevel="0" collapsed="false">
      <c r="A719" s="16"/>
      <c r="B719" s="8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row>
    <row r="720" customFormat="false" ht="15.75" hidden="false" customHeight="false" outlineLevel="0" collapsed="false">
      <c r="A720" s="16"/>
      <c r="B720" s="8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row>
    <row r="721" customFormat="false" ht="15.75" hidden="false" customHeight="false" outlineLevel="0" collapsed="false">
      <c r="A721" s="16"/>
      <c r="B721" s="8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row>
    <row r="722" customFormat="false" ht="15.75" hidden="false" customHeight="false" outlineLevel="0" collapsed="false">
      <c r="A722" s="16"/>
      <c r="B722" s="8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row>
    <row r="723" customFormat="false" ht="15.75" hidden="false" customHeight="false" outlineLevel="0" collapsed="false">
      <c r="A723" s="16"/>
      <c r="B723" s="8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row>
    <row r="724" customFormat="false" ht="15.75" hidden="false" customHeight="false" outlineLevel="0" collapsed="false">
      <c r="A724" s="16"/>
      <c r="B724" s="8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row>
    <row r="725" customFormat="false" ht="15.75" hidden="false" customHeight="false" outlineLevel="0" collapsed="false">
      <c r="A725" s="16"/>
      <c r="B725" s="8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row>
    <row r="726" customFormat="false" ht="15.75" hidden="false" customHeight="false" outlineLevel="0" collapsed="false">
      <c r="A726" s="16"/>
      <c r="B726" s="8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row>
    <row r="727" customFormat="false" ht="15.75" hidden="false" customHeight="false" outlineLevel="0" collapsed="false">
      <c r="A727" s="16"/>
      <c r="B727" s="8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row>
    <row r="728" customFormat="false" ht="15.75" hidden="false" customHeight="false" outlineLevel="0" collapsed="false">
      <c r="A728" s="16"/>
      <c r="B728" s="8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row>
    <row r="729" customFormat="false" ht="15.75" hidden="false" customHeight="false" outlineLevel="0" collapsed="false">
      <c r="A729" s="16"/>
      <c r="B729" s="8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row>
    <row r="730" customFormat="false" ht="15.75" hidden="false" customHeight="false" outlineLevel="0" collapsed="false">
      <c r="A730" s="16"/>
      <c r="B730" s="8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row>
    <row r="731" customFormat="false" ht="15.75" hidden="false" customHeight="false" outlineLevel="0" collapsed="false">
      <c r="A731" s="16"/>
      <c r="B731" s="8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row>
    <row r="732" customFormat="false" ht="15.75" hidden="false" customHeight="false" outlineLevel="0" collapsed="false">
      <c r="A732" s="16"/>
      <c r="B732" s="8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row>
    <row r="733" customFormat="false" ht="15.75" hidden="false" customHeight="false" outlineLevel="0" collapsed="false">
      <c r="A733" s="16"/>
      <c r="B733" s="8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row>
    <row r="734" customFormat="false" ht="15.75" hidden="false" customHeight="false" outlineLevel="0" collapsed="false">
      <c r="A734" s="16"/>
      <c r="B734" s="8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row>
    <row r="735" customFormat="false" ht="15.75" hidden="false" customHeight="false" outlineLevel="0" collapsed="false">
      <c r="A735" s="16"/>
      <c r="B735" s="8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row>
    <row r="736" customFormat="false" ht="15.75" hidden="false" customHeight="false" outlineLevel="0" collapsed="false">
      <c r="A736" s="16"/>
      <c r="B736" s="8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row>
    <row r="737" customFormat="false" ht="15.75" hidden="false" customHeight="false" outlineLevel="0" collapsed="false">
      <c r="A737" s="16"/>
      <c r="B737" s="8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row>
    <row r="738" customFormat="false" ht="15.75" hidden="false" customHeight="false" outlineLevel="0" collapsed="false">
      <c r="A738" s="16"/>
      <c r="B738" s="8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row>
    <row r="739" customFormat="false" ht="15.75" hidden="false" customHeight="false" outlineLevel="0" collapsed="false">
      <c r="A739" s="16"/>
      <c r="B739" s="8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row>
    <row r="740" customFormat="false" ht="15.75" hidden="false" customHeight="false" outlineLevel="0" collapsed="false">
      <c r="A740" s="16"/>
      <c r="B740" s="8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row>
    <row r="741" customFormat="false" ht="15.75" hidden="false" customHeight="false" outlineLevel="0" collapsed="false">
      <c r="A741" s="16"/>
      <c r="B741" s="8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row>
    <row r="742" customFormat="false" ht="15.75" hidden="false" customHeight="false" outlineLevel="0" collapsed="false">
      <c r="A742" s="16"/>
      <c r="B742" s="8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row>
    <row r="743" customFormat="false" ht="15.75" hidden="false" customHeight="false" outlineLevel="0" collapsed="false">
      <c r="A743" s="16"/>
      <c r="B743" s="8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row>
    <row r="744" customFormat="false" ht="15.75" hidden="false" customHeight="false" outlineLevel="0" collapsed="false">
      <c r="A744" s="16"/>
      <c r="B744" s="8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row>
    <row r="745" customFormat="false" ht="15.75" hidden="false" customHeight="false" outlineLevel="0" collapsed="false">
      <c r="A745" s="16"/>
      <c r="B745" s="8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row>
    <row r="746" customFormat="false" ht="15.75" hidden="false" customHeight="false" outlineLevel="0" collapsed="false">
      <c r="A746" s="16"/>
      <c r="B746" s="8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row>
    <row r="747" customFormat="false" ht="15.75" hidden="false" customHeight="false" outlineLevel="0" collapsed="false">
      <c r="A747" s="16"/>
      <c r="B747" s="8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row>
    <row r="748" customFormat="false" ht="15.75" hidden="false" customHeight="false" outlineLevel="0" collapsed="false">
      <c r="A748" s="16"/>
      <c r="B748" s="8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row>
    <row r="749" customFormat="false" ht="15.75" hidden="false" customHeight="false" outlineLevel="0" collapsed="false">
      <c r="A749" s="16"/>
      <c r="B749" s="8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row>
    <row r="750" customFormat="false" ht="15.75" hidden="false" customHeight="false" outlineLevel="0" collapsed="false">
      <c r="A750" s="16"/>
      <c r="B750" s="8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row>
    <row r="751" customFormat="false" ht="15.75" hidden="false" customHeight="false" outlineLevel="0" collapsed="false">
      <c r="A751" s="16"/>
      <c r="B751" s="8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row>
    <row r="752" customFormat="false" ht="15.75" hidden="false" customHeight="false" outlineLevel="0" collapsed="false">
      <c r="A752" s="16"/>
      <c r="B752" s="8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row>
    <row r="753" customFormat="false" ht="15.75" hidden="false" customHeight="false" outlineLevel="0" collapsed="false">
      <c r="A753" s="16"/>
      <c r="B753" s="8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row>
    <row r="754" customFormat="false" ht="15.75" hidden="false" customHeight="false" outlineLevel="0" collapsed="false">
      <c r="A754" s="16"/>
      <c r="B754" s="8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row>
    <row r="755" customFormat="false" ht="15.75" hidden="false" customHeight="false" outlineLevel="0" collapsed="false">
      <c r="A755" s="16"/>
      <c r="B755" s="8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row>
    <row r="756" customFormat="false" ht="15.75" hidden="false" customHeight="false" outlineLevel="0" collapsed="false">
      <c r="A756" s="16"/>
      <c r="B756" s="8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row>
    <row r="757" customFormat="false" ht="15.75" hidden="false" customHeight="false" outlineLevel="0" collapsed="false">
      <c r="A757" s="16"/>
      <c r="B757" s="8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row>
    <row r="758" customFormat="false" ht="15.75" hidden="false" customHeight="false" outlineLevel="0" collapsed="false">
      <c r="A758" s="16"/>
      <c r="B758" s="8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row>
    <row r="759" customFormat="false" ht="15.75" hidden="false" customHeight="false" outlineLevel="0" collapsed="false">
      <c r="A759" s="16"/>
      <c r="B759" s="8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row>
    <row r="760" customFormat="false" ht="15.75" hidden="false" customHeight="false" outlineLevel="0" collapsed="false">
      <c r="A760" s="16"/>
      <c r="B760" s="8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row>
    <row r="761" customFormat="false" ht="15.75" hidden="false" customHeight="false" outlineLevel="0" collapsed="false">
      <c r="A761" s="16"/>
      <c r="B761" s="8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row>
    <row r="762" customFormat="false" ht="15.75" hidden="false" customHeight="false" outlineLevel="0" collapsed="false">
      <c r="A762" s="16"/>
      <c r="B762" s="8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row>
    <row r="763" customFormat="false" ht="15.75" hidden="false" customHeight="false" outlineLevel="0" collapsed="false">
      <c r="A763" s="16"/>
      <c r="B763" s="8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row>
    <row r="764" customFormat="false" ht="15.75" hidden="false" customHeight="false" outlineLevel="0" collapsed="false">
      <c r="A764" s="16"/>
      <c r="B764" s="8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row>
    <row r="765" customFormat="false" ht="15.75" hidden="false" customHeight="false" outlineLevel="0" collapsed="false">
      <c r="A765" s="16"/>
      <c r="B765" s="8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row>
    <row r="766" customFormat="false" ht="15.75" hidden="false" customHeight="false" outlineLevel="0" collapsed="false">
      <c r="A766" s="16"/>
      <c r="B766" s="8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row>
    <row r="767" customFormat="false" ht="15.75" hidden="false" customHeight="false" outlineLevel="0" collapsed="false">
      <c r="A767" s="16"/>
      <c r="B767" s="8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row>
    <row r="768" customFormat="false" ht="15.75" hidden="false" customHeight="false" outlineLevel="0" collapsed="false">
      <c r="A768" s="16"/>
      <c r="B768" s="8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row>
    <row r="769" customFormat="false" ht="15.75" hidden="false" customHeight="false" outlineLevel="0" collapsed="false">
      <c r="A769" s="16"/>
      <c r="B769" s="8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row>
    <row r="770" customFormat="false" ht="15.75" hidden="false" customHeight="false" outlineLevel="0" collapsed="false">
      <c r="A770" s="16"/>
      <c r="B770" s="8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row>
    <row r="771" customFormat="false" ht="15.75" hidden="false" customHeight="false" outlineLevel="0" collapsed="false">
      <c r="A771" s="16"/>
      <c r="B771" s="8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row>
    <row r="772" customFormat="false" ht="15.75" hidden="false" customHeight="false" outlineLevel="0" collapsed="false">
      <c r="A772" s="16"/>
      <c r="B772" s="8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row>
    <row r="773" customFormat="false" ht="15.75" hidden="false" customHeight="false" outlineLevel="0" collapsed="false">
      <c r="A773" s="16"/>
      <c r="B773" s="8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row>
    <row r="774" customFormat="false" ht="15.75" hidden="false" customHeight="false" outlineLevel="0" collapsed="false">
      <c r="A774" s="16"/>
      <c r="B774" s="8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row>
    <row r="775" customFormat="false" ht="15.75" hidden="false" customHeight="false" outlineLevel="0" collapsed="false">
      <c r="A775" s="16"/>
      <c r="B775" s="8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row>
    <row r="776" customFormat="false" ht="15.75" hidden="false" customHeight="false" outlineLevel="0" collapsed="false">
      <c r="A776" s="16"/>
      <c r="B776" s="8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row>
    <row r="777" customFormat="false" ht="15.75" hidden="false" customHeight="false" outlineLevel="0" collapsed="false">
      <c r="A777" s="16"/>
      <c r="B777" s="8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row>
    <row r="778" customFormat="false" ht="15.75" hidden="false" customHeight="false" outlineLevel="0" collapsed="false">
      <c r="A778" s="16"/>
      <c r="B778" s="8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row>
    <row r="779" customFormat="false" ht="15.75" hidden="false" customHeight="false" outlineLevel="0" collapsed="false">
      <c r="A779" s="16"/>
      <c r="B779" s="8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row>
    <row r="780" customFormat="false" ht="15.75" hidden="false" customHeight="false" outlineLevel="0" collapsed="false">
      <c r="A780" s="16"/>
      <c r="B780" s="8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row>
    <row r="781" customFormat="false" ht="15.75" hidden="false" customHeight="false" outlineLevel="0" collapsed="false">
      <c r="A781" s="16"/>
      <c r="B781" s="8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row>
    <row r="782" customFormat="false" ht="15.75" hidden="false" customHeight="false" outlineLevel="0" collapsed="false">
      <c r="A782" s="16"/>
      <c r="B782" s="8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row>
    <row r="783" customFormat="false" ht="15.75" hidden="false" customHeight="false" outlineLevel="0" collapsed="false">
      <c r="A783" s="16"/>
      <c r="B783" s="8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row>
    <row r="784" customFormat="false" ht="15.75" hidden="false" customHeight="false" outlineLevel="0" collapsed="false">
      <c r="A784" s="16"/>
      <c r="B784" s="8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row>
    <row r="785" customFormat="false" ht="15.75" hidden="false" customHeight="false" outlineLevel="0" collapsed="false">
      <c r="A785" s="16"/>
      <c r="B785" s="8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row>
    <row r="786" customFormat="false" ht="15.75" hidden="false" customHeight="false" outlineLevel="0" collapsed="false">
      <c r="A786" s="16"/>
      <c r="B786" s="8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row>
    <row r="787" customFormat="false" ht="15.75" hidden="false" customHeight="false" outlineLevel="0" collapsed="false">
      <c r="A787" s="16"/>
      <c r="B787" s="8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row>
    <row r="788" customFormat="false" ht="15.75" hidden="false" customHeight="false" outlineLevel="0" collapsed="false">
      <c r="A788" s="16"/>
      <c r="B788" s="8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row>
    <row r="789" customFormat="false" ht="15.75" hidden="false" customHeight="false" outlineLevel="0" collapsed="false">
      <c r="A789" s="16"/>
      <c r="B789" s="8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row>
    <row r="790" customFormat="false" ht="15.75" hidden="false" customHeight="false" outlineLevel="0" collapsed="false">
      <c r="A790" s="16"/>
      <c r="B790" s="8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row>
    <row r="791" customFormat="false" ht="15.75" hidden="false" customHeight="false" outlineLevel="0" collapsed="false">
      <c r="A791" s="16"/>
      <c r="B791" s="8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row>
    <row r="792" customFormat="false" ht="15.75" hidden="false" customHeight="false" outlineLevel="0" collapsed="false">
      <c r="A792" s="16"/>
      <c r="B792" s="8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row>
    <row r="793" customFormat="false" ht="15.75" hidden="false" customHeight="false" outlineLevel="0" collapsed="false">
      <c r="A793" s="16"/>
      <c r="B793" s="8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row>
    <row r="794" customFormat="false" ht="15.75" hidden="false" customHeight="false" outlineLevel="0" collapsed="false">
      <c r="A794" s="16"/>
      <c r="B794" s="8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row>
    <row r="795" customFormat="false" ht="15.75" hidden="false" customHeight="false" outlineLevel="0" collapsed="false">
      <c r="A795" s="16"/>
      <c r="B795" s="8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row>
    <row r="796" customFormat="false" ht="15.75" hidden="false" customHeight="false" outlineLevel="0" collapsed="false">
      <c r="A796" s="16"/>
      <c r="B796" s="8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row>
    <row r="797" customFormat="false" ht="15.75" hidden="false" customHeight="false" outlineLevel="0" collapsed="false">
      <c r="A797" s="16"/>
      <c r="B797" s="8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row>
    <row r="798" customFormat="false" ht="15.75" hidden="false" customHeight="false" outlineLevel="0" collapsed="false">
      <c r="A798" s="16"/>
      <c r="B798" s="8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row>
    <row r="799" customFormat="false" ht="15.75" hidden="false" customHeight="false" outlineLevel="0" collapsed="false">
      <c r="A799" s="16"/>
      <c r="B799" s="8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row>
    <row r="800" customFormat="false" ht="15.75" hidden="false" customHeight="false" outlineLevel="0" collapsed="false">
      <c r="A800" s="16"/>
      <c r="B800" s="8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row>
    <row r="801" customFormat="false" ht="15.75" hidden="false" customHeight="false" outlineLevel="0" collapsed="false">
      <c r="A801" s="16"/>
      <c r="B801" s="8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row>
    <row r="802" customFormat="false" ht="15.75" hidden="false" customHeight="false" outlineLevel="0" collapsed="false">
      <c r="A802" s="16"/>
      <c r="B802" s="8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row>
    <row r="803" customFormat="false" ht="15.75" hidden="false" customHeight="false" outlineLevel="0" collapsed="false">
      <c r="A803" s="16"/>
      <c r="B803" s="8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row>
    <row r="804" customFormat="false" ht="15.75" hidden="false" customHeight="false" outlineLevel="0" collapsed="false">
      <c r="A804" s="16"/>
      <c r="B804" s="8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row>
    <row r="805" customFormat="false" ht="15.75" hidden="false" customHeight="false" outlineLevel="0" collapsed="false">
      <c r="A805" s="16"/>
      <c r="B805" s="8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row>
    <row r="806" customFormat="false" ht="15.75" hidden="false" customHeight="false" outlineLevel="0" collapsed="false">
      <c r="A806" s="16"/>
      <c r="B806" s="8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row>
    <row r="807" customFormat="false" ht="15.75" hidden="false" customHeight="false" outlineLevel="0" collapsed="false">
      <c r="A807" s="16"/>
      <c r="B807" s="8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row>
    <row r="808" customFormat="false" ht="15.75" hidden="false" customHeight="false" outlineLevel="0" collapsed="false">
      <c r="A808" s="16"/>
      <c r="B808" s="8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row>
    <row r="809" customFormat="false" ht="15.75" hidden="false" customHeight="false" outlineLevel="0" collapsed="false">
      <c r="A809" s="16"/>
      <c r="B809" s="8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row>
    <row r="810" customFormat="false" ht="15.75" hidden="false" customHeight="false" outlineLevel="0" collapsed="false">
      <c r="A810" s="16"/>
      <c r="B810" s="8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row>
    <row r="811" customFormat="false" ht="15.75" hidden="false" customHeight="false" outlineLevel="0" collapsed="false">
      <c r="A811" s="16"/>
      <c r="B811" s="8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row>
    <row r="812" customFormat="false" ht="15.75" hidden="false" customHeight="false" outlineLevel="0" collapsed="false">
      <c r="A812" s="16"/>
      <c r="B812" s="8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row>
    <row r="813" customFormat="false" ht="15.75" hidden="false" customHeight="false" outlineLevel="0" collapsed="false">
      <c r="A813" s="16"/>
      <c r="B813" s="8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row>
    <row r="814" customFormat="false" ht="15.75" hidden="false" customHeight="false" outlineLevel="0" collapsed="false">
      <c r="A814" s="16"/>
      <c r="B814" s="8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row>
    <row r="815" customFormat="false" ht="15.75" hidden="false" customHeight="false" outlineLevel="0" collapsed="false">
      <c r="A815" s="16"/>
      <c r="B815" s="8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row>
    <row r="816" customFormat="false" ht="15.75" hidden="false" customHeight="false" outlineLevel="0" collapsed="false">
      <c r="A816" s="16"/>
      <c r="B816" s="8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row>
    <row r="817" customFormat="false" ht="15.75" hidden="false" customHeight="false" outlineLevel="0" collapsed="false">
      <c r="A817" s="16"/>
      <c r="B817" s="8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row>
    <row r="818" customFormat="false" ht="15.75" hidden="false" customHeight="false" outlineLevel="0" collapsed="false">
      <c r="A818" s="16"/>
      <c r="B818" s="8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row>
    <row r="819" customFormat="false" ht="15.75" hidden="false" customHeight="false" outlineLevel="0" collapsed="false">
      <c r="A819" s="16"/>
      <c r="B819" s="8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row>
    <row r="820" customFormat="false" ht="15.75" hidden="false" customHeight="false" outlineLevel="0" collapsed="false">
      <c r="A820" s="16"/>
      <c r="B820" s="8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row>
    <row r="821" customFormat="false" ht="15.75" hidden="false" customHeight="false" outlineLevel="0" collapsed="false">
      <c r="A821" s="16"/>
      <c r="B821" s="8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row>
    <row r="822" customFormat="false" ht="15.75" hidden="false" customHeight="false" outlineLevel="0" collapsed="false">
      <c r="A822" s="16"/>
      <c r="B822" s="8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row>
    <row r="823" customFormat="false" ht="15.75" hidden="false" customHeight="false" outlineLevel="0" collapsed="false">
      <c r="A823" s="16"/>
      <c r="B823" s="8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row>
    <row r="824" customFormat="false" ht="15.75" hidden="false" customHeight="false" outlineLevel="0" collapsed="false">
      <c r="A824" s="16"/>
      <c r="B824" s="8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row>
    <row r="825" customFormat="false" ht="15.75" hidden="false" customHeight="false" outlineLevel="0" collapsed="false">
      <c r="A825" s="16"/>
      <c r="B825" s="8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row>
    <row r="826" customFormat="false" ht="15.75" hidden="false" customHeight="false" outlineLevel="0" collapsed="false">
      <c r="A826" s="16"/>
      <c r="B826" s="8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row>
    <row r="827" customFormat="false" ht="15.75" hidden="false" customHeight="false" outlineLevel="0" collapsed="false">
      <c r="A827" s="16"/>
      <c r="B827" s="8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row>
    <row r="828" customFormat="false" ht="15.75" hidden="false" customHeight="false" outlineLevel="0" collapsed="false">
      <c r="A828" s="16"/>
      <c r="B828" s="8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row>
    <row r="829" customFormat="false" ht="15.75" hidden="false" customHeight="false" outlineLevel="0" collapsed="false">
      <c r="A829" s="16"/>
      <c r="B829" s="8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row>
    <row r="830" customFormat="false" ht="15.75" hidden="false" customHeight="false" outlineLevel="0" collapsed="false">
      <c r="A830" s="16"/>
      <c r="B830" s="8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row>
    <row r="831" customFormat="false" ht="15.75" hidden="false" customHeight="false" outlineLevel="0" collapsed="false">
      <c r="A831" s="16"/>
      <c r="B831" s="8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row>
    <row r="832" customFormat="false" ht="15.75" hidden="false" customHeight="false" outlineLevel="0" collapsed="false">
      <c r="A832" s="16"/>
      <c r="B832" s="8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row>
    <row r="833" customFormat="false" ht="15.75" hidden="false" customHeight="false" outlineLevel="0" collapsed="false">
      <c r="A833" s="16"/>
      <c r="B833" s="8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row>
    <row r="834" customFormat="false" ht="15.75" hidden="false" customHeight="false" outlineLevel="0" collapsed="false">
      <c r="A834" s="16"/>
      <c r="B834" s="8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row>
    <row r="835" customFormat="false" ht="15.75" hidden="false" customHeight="false" outlineLevel="0" collapsed="false">
      <c r="A835" s="16"/>
      <c r="B835" s="8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row>
    <row r="836" customFormat="false" ht="15.75" hidden="false" customHeight="false" outlineLevel="0" collapsed="false">
      <c r="A836" s="16"/>
      <c r="B836" s="8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row>
    <row r="837" customFormat="false" ht="15.75" hidden="false" customHeight="false" outlineLevel="0" collapsed="false">
      <c r="A837" s="16"/>
      <c r="B837" s="8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row>
    <row r="838" customFormat="false" ht="15.75" hidden="false" customHeight="false" outlineLevel="0" collapsed="false">
      <c r="A838" s="16"/>
      <c r="B838" s="8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row>
    <row r="839" customFormat="false" ht="15.75" hidden="false" customHeight="false" outlineLevel="0" collapsed="false">
      <c r="A839" s="16"/>
      <c r="B839" s="8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row>
    <row r="840" customFormat="false" ht="15.75" hidden="false" customHeight="false" outlineLevel="0" collapsed="false">
      <c r="A840" s="16"/>
      <c r="B840" s="8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row>
    <row r="841" customFormat="false" ht="15.75" hidden="false" customHeight="false" outlineLevel="0" collapsed="false">
      <c r="A841" s="16"/>
      <c r="B841" s="8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row>
    <row r="842" customFormat="false" ht="15.75" hidden="false" customHeight="false" outlineLevel="0" collapsed="false">
      <c r="A842" s="16"/>
      <c r="B842" s="8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row>
    <row r="843" customFormat="false" ht="15.75" hidden="false" customHeight="false" outlineLevel="0" collapsed="false">
      <c r="A843" s="16"/>
      <c r="B843" s="8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row>
    <row r="844" customFormat="false" ht="15.75" hidden="false" customHeight="false" outlineLevel="0" collapsed="false">
      <c r="A844" s="16"/>
      <c r="B844" s="8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row>
    <row r="845" customFormat="false" ht="15.75" hidden="false" customHeight="false" outlineLevel="0" collapsed="false">
      <c r="A845" s="16"/>
      <c r="B845" s="8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row>
    <row r="846" customFormat="false" ht="15.75" hidden="false" customHeight="false" outlineLevel="0" collapsed="false">
      <c r="A846" s="16"/>
      <c r="B846" s="8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row>
    <row r="847" customFormat="false" ht="15.75" hidden="false" customHeight="false" outlineLevel="0" collapsed="false">
      <c r="A847" s="16"/>
      <c r="B847" s="8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row>
    <row r="848" customFormat="false" ht="15.75" hidden="false" customHeight="false" outlineLevel="0" collapsed="false">
      <c r="A848" s="16"/>
      <c r="B848" s="8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row>
    <row r="849" customFormat="false" ht="15.75" hidden="false" customHeight="false" outlineLevel="0" collapsed="false">
      <c r="A849" s="16"/>
      <c r="B849" s="8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row>
    <row r="850" customFormat="false" ht="15.75" hidden="false" customHeight="false" outlineLevel="0" collapsed="false">
      <c r="A850" s="16"/>
      <c r="B850" s="8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row>
    <row r="851" customFormat="false" ht="15.75" hidden="false" customHeight="false" outlineLevel="0" collapsed="false">
      <c r="A851" s="16"/>
      <c r="B851" s="8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row>
    <row r="852" customFormat="false" ht="15.75" hidden="false" customHeight="false" outlineLevel="0" collapsed="false">
      <c r="A852" s="16"/>
      <c r="B852" s="8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row>
    <row r="853" customFormat="false" ht="15.75" hidden="false" customHeight="false" outlineLevel="0" collapsed="false">
      <c r="A853" s="16"/>
      <c r="B853" s="8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row>
    <row r="854" customFormat="false" ht="15.75" hidden="false" customHeight="false" outlineLevel="0" collapsed="false">
      <c r="A854" s="16"/>
      <c r="B854" s="8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row>
    <row r="855" customFormat="false" ht="15.75" hidden="false" customHeight="false" outlineLevel="0" collapsed="false">
      <c r="A855" s="16"/>
      <c r="B855" s="8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row>
    <row r="856" customFormat="false" ht="15.75" hidden="false" customHeight="false" outlineLevel="0" collapsed="false">
      <c r="A856" s="16"/>
      <c r="B856" s="8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row>
    <row r="857" customFormat="false" ht="15.75" hidden="false" customHeight="false" outlineLevel="0" collapsed="false">
      <c r="A857" s="16"/>
      <c r="B857" s="8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row>
    <row r="858" customFormat="false" ht="15.75" hidden="false" customHeight="false" outlineLevel="0" collapsed="false">
      <c r="A858" s="16"/>
      <c r="B858" s="8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row>
    <row r="859" customFormat="false" ht="15.75" hidden="false" customHeight="false" outlineLevel="0" collapsed="false">
      <c r="A859" s="16"/>
      <c r="B859" s="8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row>
    <row r="860" customFormat="false" ht="15.75" hidden="false" customHeight="false" outlineLevel="0" collapsed="false">
      <c r="A860" s="16"/>
      <c r="B860" s="8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row>
    <row r="861" customFormat="false" ht="15.75" hidden="false" customHeight="false" outlineLevel="0" collapsed="false">
      <c r="A861" s="16"/>
      <c r="B861" s="8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row>
    <row r="862" customFormat="false" ht="15.75" hidden="false" customHeight="false" outlineLevel="0" collapsed="false">
      <c r="A862" s="16"/>
      <c r="B862" s="8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row>
    <row r="863" customFormat="false" ht="15.75" hidden="false" customHeight="false" outlineLevel="0" collapsed="false">
      <c r="A863" s="16"/>
      <c r="B863" s="8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row>
    <row r="864" customFormat="false" ht="15.75" hidden="false" customHeight="false" outlineLevel="0" collapsed="false">
      <c r="A864" s="16"/>
      <c r="B864" s="8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row>
    <row r="865" customFormat="false" ht="15.75" hidden="false" customHeight="false" outlineLevel="0" collapsed="false">
      <c r="A865" s="16"/>
      <c r="B865" s="8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row>
    <row r="866" customFormat="false" ht="15.75" hidden="false" customHeight="false" outlineLevel="0" collapsed="false">
      <c r="A866" s="16"/>
      <c r="B866" s="8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row>
    <row r="867" customFormat="false" ht="15.75" hidden="false" customHeight="false" outlineLevel="0" collapsed="false">
      <c r="A867" s="16"/>
      <c r="B867" s="8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row>
    <row r="868" customFormat="false" ht="15.75" hidden="false" customHeight="false" outlineLevel="0" collapsed="false">
      <c r="A868" s="16"/>
      <c r="B868" s="8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row>
    <row r="869" customFormat="false" ht="15.75" hidden="false" customHeight="false" outlineLevel="0" collapsed="false">
      <c r="A869" s="16"/>
      <c r="B869" s="8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row>
    <row r="870" customFormat="false" ht="15.75" hidden="false" customHeight="false" outlineLevel="0" collapsed="false">
      <c r="A870" s="16"/>
      <c r="B870" s="8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row>
    <row r="871" customFormat="false" ht="15.75" hidden="false" customHeight="false" outlineLevel="0" collapsed="false">
      <c r="A871" s="16"/>
      <c r="B871" s="8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row>
    <row r="872" customFormat="false" ht="15.75" hidden="false" customHeight="false" outlineLevel="0" collapsed="false">
      <c r="A872" s="16"/>
      <c r="B872" s="8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row>
    <row r="873" customFormat="false" ht="15.75" hidden="false" customHeight="false" outlineLevel="0" collapsed="false">
      <c r="A873" s="16"/>
      <c r="B873" s="8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row>
    <row r="874" customFormat="false" ht="15.75" hidden="false" customHeight="false" outlineLevel="0" collapsed="false">
      <c r="A874" s="16"/>
      <c r="B874" s="8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row>
    <row r="875" customFormat="false" ht="15.75" hidden="false" customHeight="false" outlineLevel="0" collapsed="false">
      <c r="A875" s="16"/>
      <c r="B875" s="8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row>
    <row r="876" customFormat="false" ht="15.75" hidden="false" customHeight="false" outlineLevel="0" collapsed="false">
      <c r="A876" s="16"/>
      <c r="B876" s="8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row>
    <row r="877" customFormat="false" ht="15.75" hidden="false" customHeight="false" outlineLevel="0" collapsed="false">
      <c r="A877" s="16"/>
      <c r="B877" s="8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row>
    <row r="878" customFormat="false" ht="15.75" hidden="false" customHeight="false" outlineLevel="0" collapsed="false">
      <c r="A878" s="16"/>
      <c r="B878" s="8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row>
    <row r="879" customFormat="false" ht="15.75" hidden="false" customHeight="false" outlineLevel="0" collapsed="false">
      <c r="A879" s="16"/>
      <c r="B879" s="8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row>
    <row r="880" customFormat="false" ht="15.75" hidden="false" customHeight="false" outlineLevel="0" collapsed="false">
      <c r="A880" s="16"/>
      <c r="B880" s="8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row>
    <row r="881" customFormat="false" ht="15.75" hidden="false" customHeight="false" outlineLevel="0" collapsed="false">
      <c r="A881" s="16"/>
      <c r="B881" s="8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row>
    <row r="882" customFormat="false" ht="15.75" hidden="false" customHeight="false" outlineLevel="0" collapsed="false">
      <c r="A882" s="16"/>
      <c r="B882" s="8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row>
    <row r="883" customFormat="false" ht="15.75" hidden="false" customHeight="false" outlineLevel="0" collapsed="false">
      <c r="A883" s="16"/>
      <c r="B883" s="8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row>
    <row r="884" customFormat="false" ht="15.75" hidden="false" customHeight="false" outlineLevel="0" collapsed="false">
      <c r="A884" s="16"/>
      <c r="B884" s="8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row>
    <row r="885" customFormat="false" ht="15.75" hidden="false" customHeight="false" outlineLevel="0" collapsed="false">
      <c r="A885" s="16"/>
      <c r="B885" s="8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row>
    <row r="886" customFormat="false" ht="15.75" hidden="false" customHeight="false" outlineLevel="0" collapsed="false">
      <c r="A886" s="16"/>
      <c r="B886" s="8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row>
    <row r="887" customFormat="false" ht="15.75" hidden="false" customHeight="false" outlineLevel="0" collapsed="false">
      <c r="A887" s="16"/>
      <c r="B887" s="8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row>
    <row r="888" customFormat="false" ht="15.75" hidden="false" customHeight="false" outlineLevel="0" collapsed="false">
      <c r="A888" s="16"/>
      <c r="B888" s="8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row>
    <row r="889" customFormat="false" ht="15.75" hidden="false" customHeight="false" outlineLevel="0" collapsed="false">
      <c r="A889" s="16"/>
      <c r="B889" s="8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row>
    <row r="890" customFormat="false" ht="15.75" hidden="false" customHeight="false" outlineLevel="0" collapsed="false">
      <c r="A890" s="16"/>
      <c r="B890" s="8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row>
    <row r="891" customFormat="false" ht="15.75" hidden="false" customHeight="false" outlineLevel="0" collapsed="false">
      <c r="A891" s="16"/>
      <c r="B891" s="8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row>
    <row r="892" customFormat="false" ht="15.75" hidden="false" customHeight="false" outlineLevel="0" collapsed="false">
      <c r="A892" s="16"/>
      <c r="B892" s="8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row>
    <row r="893" customFormat="false" ht="15.75" hidden="false" customHeight="false" outlineLevel="0" collapsed="false">
      <c r="A893" s="16"/>
      <c r="B893" s="8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row>
    <row r="894" customFormat="false" ht="15.75" hidden="false" customHeight="false" outlineLevel="0" collapsed="false">
      <c r="A894" s="16"/>
      <c r="B894" s="8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row>
    <row r="895" customFormat="false" ht="15.75" hidden="false" customHeight="false" outlineLevel="0" collapsed="false">
      <c r="A895" s="16"/>
      <c r="B895" s="8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row>
    <row r="896" customFormat="false" ht="15.75" hidden="false" customHeight="false" outlineLevel="0" collapsed="false">
      <c r="A896" s="16"/>
      <c r="B896" s="8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row>
    <row r="897" customFormat="false" ht="15.75" hidden="false" customHeight="false" outlineLevel="0" collapsed="false">
      <c r="A897" s="16"/>
      <c r="B897" s="8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row>
    <row r="898" customFormat="false" ht="15.75" hidden="false" customHeight="false" outlineLevel="0" collapsed="false">
      <c r="A898" s="16"/>
      <c r="B898" s="8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row>
    <row r="899" customFormat="false" ht="15.75" hidden="false" customHeight="false" outlineLevel="0" collapsed="false">
      <c r="A899" s="16"/>
      <c r="B899" s="8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row>
    <row r="900" customFormat="false" ht="15.75" hidden="false" customHeight="false" outlineLevel="0" collapsed="false">
      <c r="A900" s="16"/>
      <c r="B900" s="8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row>
    <row r="901" customFormat="false" ht="15.75" hidden="false" customHeight="false" outlineLevel="0" collapsed="false">
      <c r="A901" s="16"/>
      <c r="B901" s="8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row>
    <row r="902" customFormat="false" ht="15.75" hidden="false" customHeight="false" outlineLevel="0" collapsed="false">
      <c r="A902" s="16"/>
      <c r="B902" s="8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row>
    <row r="903" customFormat="false" ht="15.75" hidden="false" customHeight="false" outlineLevel="0" collapsed="false">
      <c r="A903" s="16"/>
      <c r="B903" s="8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row>
    <row r="904" customFormat="false" ht="15.75" hidden="false" customHeight="false" outlineLevel="0" collapsed="false">
      <c r="A904" s="16"/>
      <c r="B904" s="8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row>
    <row r="905" customFormat="false" ht="15.75" hidden="false" customHeight="false" outlineLevel="0" collapsed="false">
      <c r="A905" s="16"/>
      <c r="B905" s="8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row>
    <row r="906" customFormat="false" ht="15.75" hidden="false" customHeight="false" outlineLevel="0" collapsed="false">
      <c r="A906" s="16"/>
      <c r="B906" s="8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row>
    <row r="907" customFormat="false" ht="15.75" hidden="false" customHeight="false" outlineLevel="0" collapsed="false">
      <c r="A907" s="16"/>
      <c r="B907" s="8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row>
    <row r="908" customFormat="false" ht="15.75" hidden="false" customHeight="false" outlineLevel="0" collapsed="false">
      <c r="A908" s="16"/>
      <c r="B908" s="8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row>
    <row r="909" customFormat="false" ht="15.75" hidden="false" customHeight="false" outlineLevel="0" collapsed="false">
      <c r="A909" s="16"/>
      <c r="B909" s="8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row>
    <row r="910" customFormat="false" ht="15.75" hidden="false" customHeight="false" outlineLevel="0" collapsed="false">
      <c r="A910" s="16"/>
      <c r="B910" s="8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row>
    <row r="911" customFormat="false" ht="15.75" hidden="false" customHeight="false" outlineLevel="0" collapsed="false">
      <c r="A911" s="16"/>
      <c r="B911" s="8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row>
    <row r="912" customFormat="false" ht="15.75" hidden="false" customHeight="false" outlineLevel="0" collapsed="false">
      <c r="A912" s="16"/>
      <c r="B912" s="8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row>
    <row r="913" customFormat="false" ht="15.75" hidden="false" customHeight="false" outlineLevel="0" collapsed="false">
      <c r="A913" s="16"/>
      <c r="B913" s="8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row>
    <row r="914" customFormat="false" ht="15.75" hidden="false" customHeight="false" outlineLevel="0" collapsed="false">
      <c r="A914" s="16"/>
      <c r="B914" s="8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row>
    <row r="915" customFormat="false" ht="15.75" hidden="false" customHeight="false" outlineLevel="0" collapsed="false">
      <c r="A915" s="16"/>
      <c r="B915" s="8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row>
    <row r="916" customFormat="false" ht="15.75" hidden="false" customHeight="false" outlineLevel="0" collapsed="false">
      <c r="A916" s="16"/>
      <c r="B916" s="8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row>
    <row r="917" customFormat="false" ht="15.75" hidden="false" customHeight="false" outlineLevel="0" collapsed="false">
      <c r="A917" s="16"/>
      <c r="B917" s="8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row>
    <row r="918" customFormat="false" ht="15.75" hidden="false" customHeight="false" outlineLevel="0" collapsed="false">
      <c r="A918" s="16"/>
      <c r="B918" s="8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row>
    <row r="919" customFormat="false" ht="15.75" hidden="false" customHeight="false" outlineLevel="0" collapsed="false">
      <c r="A919" s="16"/>
      <c r="B919" s="8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row>
    <row r="920" customFormat="false" ht="15.75" hidden="false" customHeight="false" outlineLevel="0" collapsed="false">
      <c r="A920" s="16"/>
      <c r="B920" s="8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row>
    <row r="921" customFormat="false" ht="15.75" hidden="false" customHeight="false" outlineLevel="0" collapsed="false">
      <c r="A921" s="16"/>
      <c r="B921" s="8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row>
    <row r="922" customFormat="false" ht="15.75" hidden="false" customHeight="false" outlineLevel="0" collapsed="false">
      <c r="A922" s="16"/>
      <c r="B922" s="8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row>
    <row r="923" customFormat="false" ht="15.75" hidden="false" customHeight="false" outlineLevel="0" collapsed="false">
      <c r="A923" s="16"/>
      <c r="B923" s="8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row>
    <row r="924" customFormat="false" ht="15.75" hidden="false" customHeight="false" outlineLevel="0" collapsed="false">
      <c r="A924" s="16"/>
      <c r="B924" s="8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row>
    <row r="925" customFormat="false" ht="15.75" hidden="false" customHeight="false" outlineLevel="0" collapsed="false">
      <c r="A925" s="16"/>
      <c r="B925" s="8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row>
    <row r="926" customFormat="false" ht="15.75" hidden="false" customHeight="false" outlineLevel="0" collapsed="false">
      <c r="A926" s="16"/>
      <c r="B926" s="8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row>
    <row r="927" customFormat="false" ht="15.75" hidden="false" customHeight="false" outlineLevel="0" collapsed="false">
      <c r="A927" s="16"/>
      <c r="B927" s="8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row>
    <row r="928" customFormat="false" ht="15.75" hidden="false" customHeight="false" outlineLevel="0" collapsed="false">
      <c r="A928" s="16"/>
      <c r="B928" s="8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row>
    <row r="929" customFormat="false" ht="15.75" hidden="false" customHeight="false" outlineLevel="0" collapsed="false">
      <c r="A929" s="16"/>
      <c r="B929" s="8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row>
    <row r="930" customFormat="false" ht="15.75" hidden="false" customHeight="false" outlineLevel="0" collapsed="false">
      <c r="A930" s="16"/>
      <c r="B930" s="8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row>
    <row r="931" customFormat="false" ht="15.75" hidden="false" customHeight="false" outlineLevel="0" collapsed="false">
      <c r="A931" s="16"/>
      <c r="B931" s="8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row>
    <row r="932" customFormat="false" ht="15.75" hidden="false" customHeight="false" outlineLevel="0" collapsed="false">
      <c r="A932" s="16"/>
      <c r="B932" s="8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row>
    <row r="933" customFormat="false" ht="15.75" hidden="false" customHeight="false" outlineLevel="0" collapsed="false">
      <c r="A933" s="16"/>
      <c r="B933" s="8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row>
    <row r="934" customFormat="false" ht="15.75" hidden="false" customHeight="false" outlineLevel="0" collapsed="false">
      <c r="A934" s="16"/>
      <c r="B934" s="8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row>
    <row r="935" customFormat="false" ht="15.75" hidden="false" customHeight="false" outlineLevel="0" collapsed="false">
      <c r="A935" s="16"/>
      <c r="B935" s="8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row>
    <row r="936" customFormat="false" ht="15.75" hidden="false" customHeight="false" outlineLevel="0" collapsed="false">
      <c r="A936" s="16"/>
      <c r="B936" s="8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row>
    <row r="937" customFormat="false" ht="15.75" hidden="false" customHeight="false" outlineLevel="0" collapsed="false">
      <c r="A937" s="16"/>
      <c r="B937" s="8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row>
    <row r="938" customFormat="false" ht="15.75" hidden="false" customHeight="false" outlineLevel="0" collapsed="false">
      <c r="A938" s="16"/>
      <c r="B938" s="8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row>
    <row r="939" customFormat="false" ht="15.75" hidden="false" customHeight="false" outlineLevel="0" collapsed="false">
      <c r="A939" s="16"/>
      <c r="B939" s="8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row>
    <row r="940" customFormat="false" ht="15.75" hidden="false" customHeight="false" outlineLevel="0" collapsed="false">
      <c r="A940" s="16"/>
      <c r="B940" s="8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row>
    <row r="941" customFormat="false" ht="15.75" hidden="false" customHeight="false" outlineLevel="0" collapsed="false">
      <c r="A941" s="16"/>
      <c r="B941" s="8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row>
    <row r="942" customFormat="false" ht="15.75" hidden="false" customHeight="false" outlineLevel="0" collapsed="false">
      <c r="A942" s="16"/>
      <c r="B942" s="8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row>
    <row r="943" customFormat="false" ht="15.75" hidden="false" customHeight="false" outlineLevel="0" collapsed="false">
      <c r="A943" s="16"/>
      <c r="B943" s="8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row>
    <row r="944" customFormat="false" ht="15.75" hidden="false" customHeight="false" outlineLevel="0" collapsed="false">
      <c r="A944" s="16"/>
      <c r="B944" s="8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row>
    <row r="945" customFormat="false" ht="15.75" hidden="false" customHeight="false" outlineLevel="0" collapsed="false">
      <c r="A945" s="16"/>
      <c r="B945" s="8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row>
    <row r="946" customFormat="false" ht="15.75" hidden="false" customHeight="false" outlineLevel="0" collapsed="false">
      <c r="A946" s="16"/>
      <c r="B946" s="8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row>
    <row r="947" customFormat="false" ht="15.75" hidden="false" customHeight="false" outlineLevel="0" collapsed="false">
      <c r="A947" s="16"/>
      <c r="B947" s="8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row>
    <row r="948" customFormat="false" ht="15.75" hidden="false" customHeight="false" outlineLevel="0" collapsed="false">
      <c r="A948" s="16"/>
      <c r="B948" s="8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row>
    <row r="949" customFormat="false" ht="15.75" hidden="false" customHeight="false" outlineLevel="0" collapsed="false">
      <c r="A949" s="16"/>
      <c r="B949" s="8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row>
    <row r="950" customFormat="false" ht="15.75" hidden="false" customHeight="false" outlineLevel="0" collapsed="false">
      <c r="A950" s="16"/>
      <c r="B950" s="8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row>
    <row r="951" customFormat="false" ht="15.75" hidden="false" customHeight="false" outlineLevel="0" collapsed="false">
      <c r="A951" s="16"/>
      <c r="B951" s="8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row>
    <row r="952" customFormat="false" ht="15.75" hidden="false" customHeight="false" outlineLevel="0" collapsed="false">
      <c r="A952" s="16"/>
      <c r="B952" s="8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row>
    <row r="953" customFormat="false" ht="15.75" hidden="false" customHeight="false" outlineLevel="0" collapsed="false">
      <c r="A953" s="16"/>
      <c r="B953" s="8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row>
    <row r="954" customFormat="false" ht="15.75" hidden="false" customHeight="false" outlineLevel="0" collapsed="false">
      <c r="A954" s="16"/>
      <c r="B954" s="8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row>
    <row r="955" customFormat="false" ht="15.75" hidden="false" customHeight="false" outlineLevel="0" collapsed="false">
      <c r="A955" s="16"/>
      <c r="B955" s="8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row>
    <row r="956" customFormat="false" ht="15.75" hidden="false" customHeight="false" outlineLevel="0" collapsed="false">
      <c r="A956" s="16"/>
      <c r="B956" s="8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row>
    <row r="957" customFormat="false" ht="15.75" hidden="false" customHeight="false" outlineLevel="0" collapsed="false">
      <c r="A957" s="16"/>
      <c r="B957" s="8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row>
    <row r="958" customFormat="false" ht="15.75" hidden="false" customHeight="false" outlineLevel="0" collapsed="false">
      <c r="A958" s="16"/>
      <c r="B958" s="8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row>
    <row r="959" customFormat="false" ht="15.75" hidden="false" customHeight="false" outlineLevel="0" collapsed="false">
      <c r="A959" s="16"/>
      <c r="B959" s="8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row>
    <row r="960" customFormat="false" ht="15.75" hidden="false" customHeight="false" outlineLevel="0" collapsed="false">
      <c r="A960" s="16"/>
      <c r="B960" s="8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row>
    <row r="961" customFormat="false" ht="15.75" hidden="false" customHeight="false" outlineLevel="0" collapsed="false">
      <c r="A961" s="16"/>
      <c r="B961" s="8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row>
    <row r="962" customFormat="false" ht="15.75" hidden="false" customHeight="false" outlineLevel="0" collapsed="false">
      <c r="A962" s="16"/>
      <c r="B962" s="8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row>
    <row r="963" customFormat="false" ht="15.75" hidden="false" customHeight="false" outlineLevel="0" collapsed="false">
      <c r="A963" s="16"/>
      <c r="B963" s="8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row>
    <row r="964" customFormat="false" ht="15.75" hidden="false" customHeight="false" outlineLevel="0" collapsed="false">
      <c r="A964" s="16"/>
      <c r="B964" s="8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row>
    <row r="965" customFormat="false" ht="15.75" hidden="false" customHeight="false" outlineLevel="0" collapsed="false">
      <c r="A965" s="16"/>
      <c r="B965" s="8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row>
    <row r="966" customFormat="false" ht="15.75" hidden="false" customHeight="false" outlineLevel="0" collapsed="false">
      <c r="A966" s="16"/>
      <c r="B966" s="8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row>
    <row r="967" customFormat="false" ht="15.75" hidden="false" customHeight="false" outlineLevel="0" collapsed="false">
      <c r="A967" s="16"/>
      <c r="B967" s="8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row>
    <row r="968" customFormat="false" ht="15.75" hidden="false" customHeight="false" outlineLevel="0" collapsed="false">
      <c r="A968" s="16"/>
      <c r="B968" s="8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row>
    <row r="969" customFormat="false" ht="15.75" hidden="false" customHeight="false" outlineLevel="0" collapsed="false">
      <c r="A969" s="16"/>
      <c r="B969" s="8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row>
    <row r="970" customFormat="false" ht="15.75" hidden="false" customHeight="false" outlineLevel="0" collapsed="false">
      <c r="A970" s="16"/>
      <c r="B970" s="8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row>
    <row r="971" customFormat="false" ht="15.75" hidden="false" customHeight="false" outlineLevel="0" collapsed="false">
      <c r="A971" s="16"/>
      <c r="B971" s="8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row>
    <row r="972" customFormat="false" ht="15.75" hidden="false" customHeight="false" outlineLevel="0" collapsed="false">
      <c r="A972" s="16"/>
      <c r="B972" s="8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row>
    <row r="973" customFormat="false" ht="15.75" hidden="false" customHeight="false" outlineLevel="0" collapsed="false">
      <c r="A973" s="16"/>
      <c r="B973" s="8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row>
    <row r="974" customFormat="false" ht="15.75" hidden="false" customHeight="false" outlineLevel="0" collapsed="false">
      <c r="A974" s="16"/>
      <c r="B974" s="8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row>
    <row r="975" customFormat="false" ht="15.75" hidden="false" customHeight="false" outlineLevel="0" collapsed="false">
      <c r="A975" s="16"/>
      <c r="B975" s="8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row>
    <row r="976" customFormat="false" ht="15.75" hidden="false" customHeight="false" outlineLevel="0" collapsed="false">
      <c r="A976" s="16"/>
      <c r="B976" s="8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row>
    <row r="977" customFormat="false" ht="15.75" hidden="false" customHeight="false" outlineLevel="0" collapsed="false">
      <c r="A977" s="16"/>
      <c r="B977" s="8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row>
    <row r="978" customFormat="false" ht="15.75" hidden="false" customHeight="false" outlineLevel="0" collapsed="false">
      <c r="A978" s="16"/>
      <c r="B978" s="8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row>
    <row r="979" customFormat="false" ht="15.75" hidden="false" customHeight="false" outlineLevel="0" collapsed="false">
      <c r="A979" s="16"/>
      <c r="B979" s="8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row>
    <row r="980" customFormat="false" ht="15.75" hidden="false" customHeight="false" outlineLevel="0" collapsed="false">
      <c r="A980" s="16"/>
      <c r="B980" s="8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row>
    <row r="981" customFormat="false" ht="15.75" hidden="false" customHeight="false" outlineLevel="0" collapsed="false">
      <c r="A981" s="16"/>
      <c r="B981" s="8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row>
    <row r="982" customFormat="false" ht="15.75" hidden="false" customHeight="false" outlineLevel="0" collapsed="false">
      <c r="A982" s="16"/>
      <c r="B982" s="8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row>
    <row r="983" customFormat="false" ht="15.75" hidden="false" customHeight="false" outlineLevel="0" collapsed="false">
      <c r="A983" s="16"/>
      <c r="B983" s="8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row>
    <row r="984" customFormat="false" ht="15.75" hidden="false" customHeight="false" outlineLevel="0" collapsed="false">
      <c r="A984" s="16"/>
      <c r="B984" s="8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row>
    <row r="985" customFormat="false" ht="15.75" hidden="false" customHeight="false" outlineLevel="0" collapsed="false">
      <c r="A985" s="16"/>
      <c r="B985" s="8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row>
    <row r="986" customFormat="false" ht="15.75" hidden="false" customHeight="false" outlineLevel="0" collapsed="false">
      <c r="A986" s="16"/>
      <c r="B986" s="8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row>
    <row r="987" customFormat="false" ht="15.75" hidden="false" customHeight="false" outlineLevel="0" collapsed="false">
      <c r="A987" s="16"/>
      <c r="B987" s="8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row>
    <row r="988" customFormat="false" ht="15.75" hidden="false" customHeight="false" outlineLevel="0" collapsed="false">
      <c r="A988" s="16"/>
      <c r="B988" s="8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row>
    <row r="989" customFormat="false" ht="15.75" hidden="false" customHeight="false" outlineLevel="0" collapsed="false">
      <c r="A989" s="16"/>
      <c r="B989" s="8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row>
    <row r="990" customFormat="false" ht="15.75" hidden="false" customHeight="false" outlineLevel="0" collapsed="false">
      <c r="A990" s="16"/>
      <c r="B990" s="8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row>
    <row r="991" customFormat="false" ht="15.75" hidden="false" customHeight="false" outlineLevel="0" collapsed="false">
      <c r="A991" s="16"/>
      <c r="B991" s="8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row>
    <row r="992" customFormat="false" ht="15.75" hidden="false" customHeight="false" outlineLevel="0" collapsed="false">
      <c r="A992" s="16"/>
      <c r="B992" s="8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row>
    <row r="993" customFormat="false" ht="15.75" hidden="false" customHeight="false" outlineLevel="0" collapsed="false">
      <c r="A993" s="16"/>
      <c r="B993" s="8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row>
    <row r="994" customFormat="false" ht="15.75" hidden="false" customHeight="false" outlineLevel="0" collapsed="false">
      <c r="A994" s="16"/>
      <c r="B994" s="8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row>
    <row r="995" customFormat="false" ht="15.75" hidden="false" customHeight="false" outlineLevel="0" collapsed="false">
      <c r="A995" s="16"/>
      <c r="B995" s="8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row>
    <row r="996" customFormat="false" ht="15.75" hidden="false" customHeight="false" outlineLevel="0" collapsed="false">
      <c r="A996" s="16"/>
      <c r="B996" s="8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row>
    <row r="997" customFormat="false" ht="15.75" hidden="false" customHeight="false" outlineLevel="0" collapsed="false">
      <c r="A997" s="16"/>
      <c r="B997" s="8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row>
    <row r="998" customFormat="false" ht="15.75" hidden="false" customHeight="false" outlineLevel="0" collapsed="false">
      <c r="A998" s="16"/>
      <c r="B998" s="8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row>
    <row r="999" customFormat="false" ht="15.75" hidden="false" customHeight="false" outlineLevel="0" collapsed="false">
      <c r="A999" s="16"/>
      <c r="B999" s="8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row>
    <row r="1000" customFormat="false" ht="15.75" hidden="false" customHeight="false" outlineLevel="0" collapsed="false">
      <c r="A1000" s="16"/>
      <c r="B1000" s="8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row>
    <row r="1001" customFormat="false" ht="15.75" hidden="false" customHeight="false" outlineLevel="0" collapsed="false">
      <c r="A1001" s="16"/>
      <c r="B1001" s="84"/>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row>
    <row r="1002" customFormat="false" ht="15.75" hidden="false" customHeight="false" outlineLevel="0" collapsed="false">
      <c r="A1002" s="16"/>
      <c r="B1002" s="84"/>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row>
    <row r="1003" customFormat="false" ht="15.75" hidden="false" customHeight="false" outlineLevel="0" collapsed="false">
      <c r="A1003" s="16"/>
      <c r="B1003" s="84"/>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row>
    <row r="1004" customFormat="false" ht="15.75" hidden="false" customHeight="false" outlineLevel="0" collapsed="false">
      <c r="A1004" s="16"/>
      <c r="B1004" s="84"/>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row>
    <row r="1005" customFormat="false" ht="15.75" hidden="false" customHeight="false" outlineLevel="0" collapsed="false">
      <c r="A1005" s="16"/>
      <c r="B1005" s="84"/>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row>
    <row r="1006" customFormat="false" ht="15.75" hidden="false" customHeight="false" outlineLevel="0" collapsed="false">
      <c r="A1006" s="16"/>
      <c r="B1006" s="84"/>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row>
    <row r="1007" customFormat="false" ht="15.75" hidden="false" customHeight="false" outlineLevel="0" collapsed="false">
      <c r="A1007" s="16"/>
      <c r="B1007" s="84"/>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row>
    <row r="1008" customFormat="false" ht="15.75" hidden="false" customHeight="false" outlineLevel="0" collapsed="false">
      <c r="A1008" s="16"/>
      <c r="B1008" s="84"/>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row>
    <row r="1009" customFormat="false" ht="15.75" hidden="false" customHeight="false" outlineLevel="0" collapsed="false">
      <c r="A1009" s="16"/>
      <c r="B1009" s="84"/>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row>
    <row r="1010" customFormat="false" ht="15.75" hidden="false" customHeight="false" outlineLevel="0" collapsed="false">
      <c r="A1010" s="16"/>
      <c r="B1010" s="84"/>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row>
    <row r="1011" customFormat="false" ht="15.75" hidden="false" customHeight="false" outlineLevel="0" collapsed="false">
      <c r="A1011" s="16"/>
      <c r="B1011" s="84"/>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row>
    <row r="1012" customFormat="false" ht="15.75" hidden="false" customHeight="false" outlineLevel="0" collapsed="false">
      <c r="A1012" s="16"/>
      <c r="B1012" s="84"/>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row>
    <row r="1013" customFormat="false" ht="15.75" hidden="false" customHeight="false" outlineLevel="0" collapsed="false">
      <c r="A1013" s="16"/>
      <c r="B1013" s="84"/>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row>
    <row r="1014" customFormat="false" ht="15.75" hidden="false" customHeight="false" outlineLevel="0" collapsed="false">
      <c r="A1014" s="16"/>
      <c r="B1014" s="84"/>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row>
    <row r="1015" customFormat="false" ht="15.75" hidden="false" customHeight="false" outlineLevel="0" collapsed="false">
      <c r="A1015" s="16"/>
      <c r="B1015" s="84"/>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row>
    <row r="1016" customFormat="false" ht="15.75" hidden="false" customHeight="false" outlineLevel="0" collapsed="false">
      <c r="A1016" s="16"/>
      <c r="B1016" s="84"/>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row>
    <row r="1017" customFormat="false" ht="15.75" hidden="false" customHeight="false" outlineLevel="0" collapsed="false">
      <c r="A1017" s="16"/>
      <c r="B1017" s="84"/>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row>
    <row r="1018" customFormat="false" ht="15.75" hidden="false" customHeight="false" outlineLevel="0" collapsed="false">
      <c r="A1018" s="16"/>
      <c r="B1018" s="84"/>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row>
    <row r="1019" customFormat="false" ht="15.75" hidden="false" customHeight="false" outlineLevel="0" collapsed="false">
      <c r="A1019" s="16"/>
      <c r="B1019" s="84"/>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row>
    <row r="1020" customFormat="false" ht="15.75" hidden="false" customHeight="false" outlineLevel="0" collapsed="false">
      <c r="A1020" s="16"/>
      <c r="B1020" s="84"/>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row>
    <row r="1021" customFormat="false" ht="15.75" hidden="false" customHeight="false" outlineLevel="0" collapsed="false">
      <c r="A1021" s="16"/>
      <c r="B1021" s="84"/>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row>
    <row r="1022" customFormat="false" ht="15.75" hidden="false" customHeight="false" outlineLevel="0" collapsed="false">
      <c r="A1022" s="16"/>
      <c r="B1022" s="84"/>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row>
    <row r="1023" customFormat="false" ht="15.75" hidden="false" customHeight="false" outlineLevel="0" collapsed="false">
      <c r="A1023" s="16"/>
      <c r="B1023" s="84"/>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row>
    <row r="1024" customFormat="false" ht="15.75" hidden="false" customHeight="false" outlineLevel="0" collapsed="false">
      <c r="A1024" s="16"/>
      <c r="B1024" s="84"/>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row>
    <row r="1025" customFormat="false" ht="15.75" hidden="false" customHeight="false" outlineLevel="0" collapsed="false">
      <c r="A1025" s="16"/>
      <c r="B1025" s="84"/>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row>
    <row r="1026" customFormat="false" ht="15.75" hidden="false" customHeight="false" outlineLevel="0" collapsed="false">
      <c r="A1026" s="16"/>
      <c r="B1026" s="84"/>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row>
    <row r="1027" customFormat="false" ht="15.75" hidden="false" customHeight="false" outlineLevel="0" collapsed="false">
      <c r="A1027" s="16"/>
      <c r="B1027" s="84"/>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row>
    <row r="1028" customFormat="false" ht="15.75" hidden="false" customHeight="false" outlineLevel="0" collapsed="false">
      <c r="A1028" s="16"/>
      <c r="B1028" s="84"/>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row>
    <row r="1029" customFormat="false" ht="15.75" hidden="false" customHeight="false" outlineLevel="0" collapsed="false">
      <c r="A1029" s="16"/>
      <c r="B1029" s="84"/>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row>
    <row r="1030" customFormat="false" ht="15.75" hidden="false" customHeight="false" outlineLevel="0" collapsed="false">
      <c r="A1030" s="16"/>
      <c r="B1030" s="84"/>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row>
    <row r="1031" customFormat="false" ht="15.75" hidden="false" customHeight="false" outlineLevel="0" collapsed="false">
      <c r="A1031" s="16"/>
      <c r="B1031" s="84"/>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row>
    <row r="1032" customFormat="false" ht="15.75" hidden="false" customHeight="false" outlineLevel="0" collapsed="false">
      <c r="A1032" s="16"/>
      <c r="B1032" s="84"/>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row>
    <row r="1033" customFormat="false" ht="15.75" hidden="false" customHeight="false" outlineLevel="0" collapsed="false">
      <c r="A1033" s="16"/>
      <c r="B1033" s="84"/>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row>
    <row r="1034" customFormat="false" ht="15.75" hidden="false" customHeight="false" outlineLevel="0" collapsed="false">
      <c r="A1034" s="16"/>
      <c r="B1034" s="84"/>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row>
    <row r="1035" customFormat="false" ht="15.75" hidden="false" customHeight="false" outlineLevel="0" collapsed="false">
      <c r="A1035" s="16"/>
      <c r="B1035" s="84"/>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row>
    <row r="1036" customFormat="false" ht="15.75" hidden="false" customHeight="false" outlineLevel="0" collapsed="false">
      <c r="A1036" s="16"/>
      <c r="B1036" s="84"/>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row>
    <row r="1037" customFormat="false" ht="15.75" hidden="false" customHeight="false" outlineLevel="0" collapsed="false">
      <c r="A1037" s="16"/>
      <c r="B1037" s="84"/>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row>
    <row r="1038" customFormat="false" ht="15.75" hidden="false" customHeight="false" outlineLevel="0" collapsed="false">
      <c r="A1038" s="16"/>
      <c r="B1038" s="84"/>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row>
    <row r="1040" customFormat="false" ht="15.75" hidden="false" customHeight="false" outlineLevel="0" collapsed="false">
      <c r="A1040" s="13" t="s">
        <v>53</v>
      </c>
    </row>
  </sheetData>
  <mergeCells count="130">
    <mergeCell ref="A1:B1"/>
    <mergeCell ref="C1:G1"/>
    <mergeCell ref="H1:L1"/>
    <mergeCell ref="M1:Q1"/>
    <mergeCell ref="R1:V1"/>
    <mergeCell ref="A2:A14"/>
    <mergeCell ref="D2:G2"/>
    <mergeCell ref="I2:L2"/>
    <mergeCell ref="N2:Q2"/>
    <mergeCell ref="S2:V2"/>
    <mergeCell ref="D3:G3"/>
    <mergeCell ref="I3:L3"/>
    <mergeCell ref="N3:Q3"/>
    <mergeCell ref="S3:V3"/>
    <mergeCell ref="D4:G4"/>
    <mergeCell ref="I4:L4"/>
    <mergeCell ref="N4:Q4"/>
    <mergeCell ref="S4:V4"/>
    <mergeCell ref="B5:B14"/>
    <mergeCell ref="C5:L14"/>
    <mergeCell ref="N5:O5"/>
    <mergeCell ref="P5:Q5"/>
    <mergeCell ref="S5:T5"/>
    <mergeCell ref="U5:V5"/>
    <mergeCell ref="N6:O6"/>
    <mergeCell ref="P6:Q6"/>
    <mergeCell ref="S6:T6"/>
    <mergeCell ref="U6:V6"/>
    <mergeCell ref="N7:O7"/>
    <mergeCell ref="P7:Q7"/>
    <mergeCell ref="S7:T7"/>
    <mergeCell ref="U7:V7"/>
    <mergeCell ref="N8:O8"/>
    <mergeCell ref="P8:Q8"/>
    <mergeCell ref="S8:T8"/>
    <mergeCell ref="U8:V8"/>
    <mergeCell ref="N9:O9"/>
    <mergeCell ref="P9:Q9"/>
    <mergeCell ref="S9:T9"/>
    <mergeCell ref="U9:V9"/>
    <mergeCell ref="M10:Q14"/>
    <mergeCell ref="S10:T10"/>
    <mergeCell ref="U10:V10"/>
    <mergeCell ref="S11:T11"/>
    <mergeCell ref="U11:V11"/>
    <mergeCell ref="S12:T12"/>
    <mergeCell ref="U12:V12"/>
    <mergeCell ref="S13:T13"/>
    <mergeCell ref="U13:V13"/>
    <mergeCell ref="S14:T14"/>
    <mergeCell ref="U14:V14"/>
    <mergeCell ref="A15:L15"/>
    <mergeCell ref="N15:Q15"/>
    <mergeCell ref="S15:V15"/>
    <mergeCell ref="A16:C16"/>
    <mergeCell ref="A17:A38"/>
    <mergeCell ref="B17:B22"/>
    <mergeCell ref="C21:G22"/>
    <mergeCell ref="R22:V22"/>
    <mergeCell ref="B23:C23"/>
    <mergeCell ref="D23:E23"/>
    <mergeCell ref="I23:J23"/>
    <mergeCell ref="N23:O23"/>
    <mergeCell ref="S23:T23"/>
    <mergeCell ref="B24:C24"/>
    <mergeCell ref="B25:B27"/>
    <mergeCell ref="H27:V27"/>
    <mergeCell ref="B28:C28"/>
    <mergeCell ref="D28:E28"/>
    <mergeCell ref="I28:J28"/>
    <mergeCell ref="N28:O28"/>
    <mergeCell ref="S28:T28"/>
    <mergeCell ref="B29:C29"/>
    <mergeCell ref="B30:B38"/>
    <mergeCell ref="C35:G38"/>
    <mergeCell ref="H36:L38"/>
    <mergeCell ref="R36:V38"/>
    <mergeCell ref="B39:C39"/>
    <mergeCell ref="D39:E39"/>
    <mergeCell ref="I39:J39"/>
    <mergeCell ref="N39:O39"/>
    <mergeCell ref="S39:T39"/>
    <mergeCell ref="B40:C40"/>
    <mergeCell ref="A41:A46"/>
    <mergeCell ref="B41:B46"/>
    <mergeCell ref="C43:G46"/>
    <mergeCell ref="H44:L46"/>
    <mergeCell ref="B47:C47"/>
    <mergeCell ref="D47:E47"/>
    <mergeCell ref="I47:J47"/>
    <mergeCell ref="N47:O47"/>
    <mergeCell ref="S47:T47"/>
    <mergeCell ref="B48:C48"/>
    <mergeCell ref="A49:A70"/>
    <mergeCell ref="B49:B57"/>
    <mergeCell ref="C53:G57"/>
    <mergeCell ref="M54:V57"/>
    <mergeCell ref="B58:C58"/>
    <mergeCell ref="D58:E58"/>
    <mergeCell ref="I58:J58"/>
    <mergeCell ref="N58:O58"/>
    <mergeCell ref="S58:T58"/>
    <mergeCell ref="B59:C59"/>
    <mergeCell ref="B60:B64"/>
    <mergeCell ref="C62:G64"/>
    <mergeCell ref="H63:Q64"/>
    <mergeCell ref="R64:V64"/>
    <mergeCell ref="B65:C65"/>
    <mergeCell ref="D65:E65"/>
    <mergeCell ref="I65:J65"/>
    <mergeCell ref="N65:O65"/>
    <mergeCell ref="S65:T65"/>
    <mergeCell ref="B66:C66"/>
    <mergeCell ref="B67:B70"/>
    <mergeCell ref="C69:L70"/>
    <mergeCell ref="B71:C71"/>
    <mergeCell ref="D71:E71"/>
    <mergeCell ref="I71:J71"/>
    <mergeCell ref="N71:O71"/>
    <mergeCell ref="S71:T71"/>
    <mergeCell ref="B72:C72"/>
    <mergeCell ref="A73:A85"/>
    <mergeCell ref="B73:B85"/>
    <mergeCell ref="M81:Q82"/>
    <mergeCell ref="C83:Q85"/>
    <mergeCell ref="B86:C86"/>
    <mergeCell ref="D86:E86"/>
    <mergeCell ref="I86:J86"/>
    <mergeCell ref="N86:O86"/>
    <mergeCell ref="S86:T86"/>
  </mergeCells>
  <conditionalFormatting sqref="A15:V15 A39:V39 A47:M47 A71:V71 A86:V86 B23:P23 B28:V28 B58:V58 B65:V65 D17:G17 D26:G26 D61:G61 I17:L17 I26:L26 I35:K35 I61:L61 N17:P17 N26:Q26 N35:P35 N46:P47 N61:Q61 Q17:Q23 Q47:R47 R23:V23 S12:V12 S17:U17 S26:V26 S35:U35 S46:U47 S61:V61 V17:V21 V47">
    <cfRule type="containsText" priority="2" operator="containsText" aboveAverage="0" equalAverage="0" bottom="0" percent="0" rank="0" text="Error" dxfId="0">
      <formula>NOT(ISERROR(SEARCH("Error",A12)))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FF"/>
    <outlinePr summaryBelow="0"/>
    <pageSetUpPr fitToPage="false"/>
  </sheetPr>
  <dimension ref="A1:Z90"/>
  <sheetViews>
    <sheetView showFormulas="false" showGridLines="true" showRowColHeaders="true" showZeros="true" rightToLeft="false" tabSelected="true" showOutlineSymbols="true" defaultGridColor="true" view="normal" topLeftCell="A40" colorId="64" zoomScale="110" zoomScaleNormal="110" zoomScalePageLayoutView="100" workbookViewId="0">
      <selection pane="topLeft" activeCell="B52" activeCellId="0" sqref="B52"/>
    </sheetView>
  </sheetViews>
  <sheetFormatPr defaultColWidth="12.6328125" defaultRowHeight="15.75" customHeight="true" zeroHeight="false" outlineLevelRow="0" outlineLevelCol="0"/>
  <cols>
    <col collapsed="false" customWidth="true" hidden="false" outlineLevel="0" max="1" min="1" style="0" width="10.37"/>
    <col collapsed="false" customWidth="true" hidden="false" outlineLevel="0" max="2" min="2" style="1" width="43.26"/>
    <col collapsed="false" customWidth="true" hidden="false" outlineLevel="0" max="3" min="3" style="1" width="11.26"/>
    <col collapsed="false" customWidth="true" hidden="false" outlineLevel="0" max="4" min="4" style="1" width="10.37"/>
    <col collapsed="false" customWidth="true" hidden="false" outlineLevel="0" max="5" min="5" style="1" width="12.9"/>
    <col collapsed="false" customWidth="true" hidden="false" outlineLevel="0" max="6" min="6" style="1" width="6.12"/>
    <col collapsed="false" customWidth="true" hidden="false" outlineLevel="0" max="7" min="7" style="1" width="38.94"/>
    <col collapsed="false" customWidth="true" hidden="false" outlineLevel="0" max="9" min="8" style="1" width="10.06"/>
    <col collapsed="false" customWidth="true" hidden="false" outlineLevel="0" max="10" min="10" style="1" width="13.35"/>
    <col collapsed="false" customWidth="true" hidden="false" outlineLevel="0" max="11" min="11" style="1" width="5.98"/>
    <col collapsed="false" customWidth="true" hidden="false" outlineLevel="0" max="12" min="12" style="1" width="39.65"/>
    <col collapsed="false" customWidth="true" hidden="false" outlineLevel="0" max="15" min="15" style="1" width="12.9"/>
    <col collapsed="false" customWidth="true" hidden="false" outlineLevel="0" max="16" min="16" style="1" width="11.13"/>
    <col collapsed="false" customWidth="true" hidden="false" outlineLevel="0" max="17" min="17" style="1" width="39.51"/>
    <col collapsed="false" customWidth="true" hidden="false" outlineLevel="0" max="20" min="20" style="1" width="16.83"/>
  </cols>
  <sheetData>
    <row r="1" customFormat="false" ht="20.25" hidden="false" customHeight="true" outlineLevel="0" collapsed="false">
      <c r="A1" s="86" t="s">
        <v>260</v>
      </c>
      <c r="B1" s="86"/>
      <c r="C1" s="86"/>
      <c r="D1" s="87"/>
      <c r="E1" s="88" t="s">
        <v>261</v>
      </c>
      <c r="F1" s="88"/>
      <c r="G1" s="88"/>
      <c r="H1" s="88"/>
      <c r="I1" s="87"/>
      <c r="J1" s="88" t="s">
        <v>262</v>
      </c>
      <c r="K1" s="88"/>
      <c r="L1" s="88"/>
      <c r="M1" s="88"/>
      <c r="N1" s="87"/>
      <c r="O1" s="89" t="s">
        <v>263</v>
      </c>
      <c r="P1" s="89"/>
      <c r="Q1" s="89"/>
      <c r="R1" s="89"/>
      <c r="S1" s="89"/>
      <c r="T1" s="87"/>
      <c r="U1" s="87"/>
      <c r="V1" s="87"/>
      <c r="W1" s="87"/>
      <c r="X1" s="87"/>
      <c r="Y1" s="87"/>
      <c r="Z1" s="87"/>
    </row>
    <row r="2" customFormat="false" ht="15.75" hidden="false" customHeight="true" outlineLevel="0" collapsed="false">
      <c r="A2" s="90"/>
      <c r="B2" s="87" t="s">
        <v>92</v>
      </c>
      <c r="C2" s="91" t="e">
        <f aca="false">ifs(
NOT(OR(
ISERROR($T$38),
EXACT("Empty section",$T$38)
)),
$T$38,
NOT(OR(
ISERROR($O$38),
EXACT("Empty section",$O$38)
)),
$O$38,
NOT(OR(
ISERROR($J$38),
EXACT("Empty section",$J$38)
)),
$J$38,
NOT(OR(
ISERROR($E$38),
EXACT("Empty section",$E$38)
)),
$E$38,
OR(
ISERROR($E$38),
EXACT("Empty section",$E$38)
),
"Empty section"
)</f>
        <v>#NAME?</v>
      </c>
      <c r="E2" s="92"/>
      <c r="F2" s="92"/>
      <c r="G2" s="92"/>
      <c r="H2" s="92"/>
      <c r="J2" s="92"/>
      <c r="K2" s="92"/>
      <c r="L2" s="92"/>
      <c r="M2" s="92"/>
      <c r="O2" s="93" t="s">
        <v>264</v>
      </c>
      <c r="P2" s="93"/>
      <c r="Q2" s="93"/>
      <c r="R2" s="93"/>
      <c r="S2" s="93"/>
    </row>
    <row r="3" customFormat="false" ht="15.75" hidden="false" customHeight="true" outlineLevel="0" collapsed="false">
      <c r="A3" s="90"/>
      <c r="B3" s="87" t="s">
        <v>114</v>
      </c>
      <c r="C3" s="94" t="e">
        <f aca="false">ifs(
NOT(OR(
ISERROR($T$44),
EXACT("Empty section",$T$44)
)),
$T$44,
NOT(OR(
ISERROR($O$44),
EXACT("Empty section",$O$44)
)),
$O$44,
NOT(OR(
ISERROR($J$44),
EXACT("Empty section",$J$44)
)),
$J$44,
NOT(OR(
ISERROR($E$44),
EXACT("Empty section",$E$44)
)),
$E$44,
OR(
ISERROR($E$44),
EXACT("Empty section",$E$44)
),
"Empty section"
)</f>
        <v>#NAME?</v>
      </c>
      <c r="E3" s="92"/>
      <c r="F3" s="92"/>
      <c r="G3" s="92"/>
      <c r="H3" s="92"/>
      <c r="J3" s="92"/>
      <c r="K3" s="92"/>
      <c r="L3" s="92"/>
      <c r="M3" s="92"/>
      <c r="O3" s="93" t="s">
        <v>265</v>
      </c>
      <c r="P3" s="93"/>
      <c r="Q3" s="93"/>
      <c r="R3" s="93"/>
      <c r="S3" s="93"/>
    </row>
    <row r="4" customFormat="false" ht="15.75" hidden="false" customHeight="true" outlineLevel="0" collapsed="false">
      <c r="A4" s="90"/>
      <c r="B4" s="87" t="s">
        <v>124</v>
      </c>
      <c r="C4" s="94" t="e">
        <f aca="false">ifs(
NOT(OR(
ISERROR($T$50),
EXACT("Empty section",$T$50)
)),
$T$50,
NOT(OR(
ISERROR($O$50),
EXACT("Empty section",$O$50)
)),
$O$50,
NOT(OR(
ISERROR($J$50),
EXACT("Empty section",$J$50)
)),
$J$50,
NOT(OR(
ISERROR($E$50),
EXACT("Empty section",$E$50)
)),
$E$50,
OR(
ISERROR($E$50),
EXACT("Empty section",$E$50)
),
"Empty section"
)</f>
        <v>#NAME?</v>
      </c>
      <c r="E4" s="92"/>
      <c r="F4" s="92"/>
      <c r="G4" s="92"/>
      <c r="H4" s="92"/>
      <c r="J4" s="92"/>
      <c r="K4" s="92"/>
      <c r="L4" s="92"/>
      <c r="M4" s="92"/>
      <c r="O4" s="95" t="e">
        <f aca="false">#DIV/0!</f>
        <v>#DIV/0!</v>
      </c>
      <c r="P4" s="95"/>
      <c r="Q4" s="96" t="s">
        <v>266</v>
      </c>
      <c r="R4" s="96"/>
      <c r="S4" s="96"/>
    </row>
    <row r="5" customFormat="false" ht="15.75" hidden="false" customHeight="false" outlineLevel="0" collapsed="false">
      <c r="A5" s="90"/>
      <c r="B5" s="87" t="s">
        <v>152</v>
      </c>
      <c r="C5" s="94" t="e">
        <f aca="false">ifs(
NOT(OR(
ISERROR($T$56),
EXACT("Empty section",$T$56)
)),
$T$56,
NOT(OR(
ISERROR($O$56),
EXACT("Empty section",$O$56)
)),
$O$56,
NOT(OR(
ISERROR($J$56),
EXACT("Empty section",$J$56)
)),
$J$56,
NOT(OR(
ISERROR($E$56),
EXACT("Empty section",$E$56)
)),
$E$56,
OR(
ISERROR($E$56),
EXACT("Empty section",$E$56)
),
"Empty section"
)</f>
        <v>#NAME?</v>
      </c>
      <c r="E5" s="92"/>
      <c r="F5" s="92"/>
      <c r="G5" s="92"/>
      <c r="H5" s="92"/>
      <c r="J5" s="92"/>
      <c r="K5" s="92"/>
      <c r="L5" s="92"/>
      <c r="M5" s="92"/>
      <c r="O5" s="95"/>
      <c r="P5" s="95"/>
      <c r="Q5" s="96"/>
      <c r="R5" s="96"/>
      <c r="S5" s="96"/>
    </row>
    <row r="6" customFormat="false" ht="15.75" hidden="false" customHeight="true" outlineLevel="0" collapsed="false">
      <c r="A6" s="90"/>
      <c r="B6" s="87" t="s">
        <v>171</v>
      </c>
      <c r="C6" s="94" t="e">
        <f aca="false">ifs(
NOT(OR(
ISERROR($T$62),
EXACT("Empty section",$T$62)
)),
$T$62,
NOT(OR(
ISERROR($O$62),
EXACT("Empty section",$O$62)
)),
$O$62,
NOT(OR(
ISERROR($J$62),
EXACT("Empty section",$J$62)
)),
$J$62,
NOT(OR(
ISERROR($E$62),
EXACT("Empty section",$E$62)
)),
$E$62,
OR(
ISERROR($E$62),
EXACT("Empty section",$E$62)
),
"Empty section"
)</f>
        <v>#NAME?</v>
      </c>
      <c r="E6" s="92"/>
      <c r="F6" s="92"/>
      <c r="G6" s="92"/>
      <c r="H6" s="92"/>
      <c r="J6" s="92"/>
      <c r="K6" s="92"/>
      <c r="L6" s="92"/>
      <c r="M6" s="92"/>
      <c r="O6" s="97" t="s">
        <v>267</v>
      </c>
      <c r="P6" s="97"/>
      <c r="Q6" s="96" t="s">
        <v>268</v>
      </c>
      <c r="R6" s="96"/>
      <c r="S6" s="96"/>
    </row>
    <row r="7" customFormat="false" ht="15.75" hidden="false" customHeight="false" outlineLevel="0" collapsed="false">
      <c r="A7" s="90"/>
      <c r="B7" s="87" t="s">
        <v>194</v>
      </c>
      <c r="C7" s="94" t="e">
        <f aca="false">ifs(
NOT(OR(
ISERROR($T$68),
EXACT("Empty section",$T$68)
)),
$T$68,
NOT(OR(
ISERROR($O$68),
EXACT("Empty section",$O$68)
)),
$O$68,
NOT(OR(
ISERROR($J$68),
EXACT("Empty section",$J$68)
)),
$J$68,
NOT(OR(
ISERROR($E$68),
EXACT("Empty section",$E$68)
)),
$E$68,
OR(
ISERROR($E$68),
EXACT("Empty section",$E$68)
),
"Empty section"
)</f>
        <v>#NAME?</v>
      </c>
      <c r="E7" s="92"/>
      <c r="F7" s="92"/>
      <c r="G7" s="92"/>
      <c r="H7" s="92"/>
      <c r="J7" s="92"/>
      <c r="K7" s="92"/>
      <c r="L7" s="92"/>
      <c r="M7" s="92"/>
      <c r="O7" s="97"/>
      <c r="P7" s="97"/>
      <c r="Q7" s="96"/>
      <c r="R7" s="96"/>
      <c r="S7" s="96"/>
    </row>
    <row r="8" customFormat="false" ht="15.75" hidden="false" customHeight="false" outlineLevel="0" collapsed="false">
      <c r="A8" s="90"/>
      <c r="B8" s="87" t="s">
        <v>207</v>
      </c>
      <c r="C8" s="94" t="e">
        <f aca="false">ifs(
NOT(OR(
ISERROR($T$74),
EXACT("Empty section",$T$74)
)),
$T$74,
NOT(OR(
ISERROR($O$74),
EXACT("Empty section",$O$74)
)),
$O$74,
NOT(OR(
ISERROR($J$74),
EXACT("Empty section",$J$74)
)),
$J$74,
NOT(OR(
ISERROR($E$74),
EXACT("Empty section",$E$74)
)),
$E$74,
OR(
ISERROR($E$74),
EXACT("Empty section",$E$74)
),
"Empty section"
)</f>
        <v>#NAME?</v>
      </c>
      <c r="E8" s="92"/>
      <c r="F8" s="92"/>
      <c r="G8" s="92"/>
      <c r="H8" s="92"/>
      <c r="J8" s="92"/>
      <c r="K8" s="92"/>
      <c r="L8" s="92"/>
      <c r="M8" s="92"/>
      <c r="O8" s="97"/>
      <c r="P8" s="97"/>
      <c r="Q8" s="96"/>
      <c r="R8" s="96"/>
      <c r="S8" s="96"/>
    </row>
    <row r="9" customFormat="false" ht="15.75" hidden="false" customHeight="false" outlineLevel="0" collapsed="false">
      <c r="A9" s="98"/>
      <c r="B9" s="99" t="s">
        <v>269</v>
      </c>
      <c r="C9" s="100" t="e">
        <f aca="false">ifs(
NOT(OR(
ISERROR($T$80),
EXACT("Empty section",$T$80)
)),
$T$80,
NOT(OR(
ISERROR($O$80),
EXACT("Empty section",$O$80)
)),
$O$80,
NOT(OR(
ISERROR($J$80),
EXACT("Empty section",$J$80)
)),
$J$80,
NOT(OR(
ISERROR($E$80),
EXACT("Empty section",$E$80)
)),
$E$80,
OR(
ISERROR($E$80),
EXACT("Empty section",$E$80)
),
"Empty section"
)</f>
        <v>#NAME?</v>
      </c>
      <c r="E9" s="92"/>
      <c r="F9" s="92"/>
      <c r="G9" s="92"/>
      <c r="H9" s="92"/>
      <c r="J9" s="92"/>
      <c r="K9" s="92"/>
      <c r="L9" s="92"/>
      <c r="M9" s="92"/>
      <c r="O9" s="97"/>
      <c r="P9" s="97"/>
      <c r="Q9" s="96"/>
      <c r="R9" s="96"/>
      <c r="S9" s="96"/>
    </row>
    <row r="10" customFormat="false" ht="15.75" hidden="false" customHeight="true" outlineLevel="0" collapsed="false">
      <c r="C10" s="101"/>
      <c r="E10" s="92"/>
      <c r="F10" s="92"/>
      <c r="G10" s="92"/>
      <c r="H10" s="92"/>
      <c r="J10" s="92"/>
      <c r="K10" s="92"/>
      <c r="L10" s="92"/>
      <c r="M10" s="92"/>
      <c r="O10" s="102" t="s">
        <v>270</v>
      </c>
      <c r="P10" s="102"/>
      <c r="Q10" s="96" t="s">
        <v>271</v>
      </c>
      <c r="R10" s="96"/>
      <c r="S10" s="96"/>
    </row>
    <row r="11" customFormat="false" ht="23.25" hidden="false" customHeight="true" outlineLevel="0" collapsed="false">
      <c r="A11" s="86" t="s">
        <v>272</v>
      </c>
      <c r="B11" s="86"/>
      <c r="C11" s="86"/>
      <c r="E11" s="92"/>
      <c r="F11" s="92"/>
      <c r="G11" s="92"/>
      <c r="H11" s="92"/>
      <c r="J11" s="92"/>
      <c r="K11" s="92"/>
      <c r="L11" s="92"/>
      <c r="M11" s="92"/>
      <c r="O11" s="103" t="s">
        <v>273</v>
      </c>
      <c r="P11" s="103"/>
      <c r="Q11" s="104" t="s">
        <v>274</v>
      </c>
      <c r="R11" s="104"/>
      <c r="S11" s="104"/>
    </row>
    <row r="12" customFormat="false" ht="20.85" hidden="false" customHeight="false" outlineLevel="0" collapsed="false">
      <c r="A12" s="105" t="e">
        <f aca="false">AVERAGE($C$2:$C$9)</f>
        <v>#NAME?</v>
      </c>
      <c r="B12" s="105"/>
      <c r="C12" s="105"/>
      <c r="E12" s="92"/>
      <c r="F12" s="92"/>
      <c r="G12" s="92"/>
      <c r="H12" s="92"/>
      <c r="J12" s="92"/>
      <c r="K12" s="92"/>
      <c r="L12" s="92"/>
      <c r="M12" s="92"/>
      <c r="O12" s="106"/>
      <c r="P12" s="106"/>
      <c r="Q12" s="106"/>
      <c r="R12" s="106"/>
      <c r="S12" s="106"/>
    </row>
    <row r="13" customFormat="false" ht="27.75" hidden="false" customHeight="true" outlineLevel="0" collapsed="false">
      <c r="A13" s="107"/>
      <c r="B13" s="107"/>
      <c r="C13" s="108"/>
      <c r="E13" s="92"/>
      <c r="F13" s="92"/>
      <c r="G13" s="92"/>
      <c r="H13" s="92"/>
      <c r="J13" s="92"/>
      <c r="K13" s="92"/>
      <c r="L13" s="92"/>
      <c r="M13" s="92"/>
      <c r="O13" s="109" t="s">
        <v>275</v>
      </c>
      <c r="P13" s="109"/>
      <c r="Q13" s="109"/>
      <c r="R13" s="109"/>
      <c r="S13" s="109"/>
      <c r="T13" s="110"/>
    </row>
    <row r="14" customFormat="false" ht="25.5" hidden="false" customHeight="true" outlineLevel="0" collapsed="false">
      <c r="A14" s="111" t="s">
        <v>276</v>
      </c>
      <c r="B14" s="111"/>
      <c r="C14" s="111"/>
      <c r="E14" s="92"/>
      <c r="F14" s="92"/>
      <c r="G14" s="92"/>
      <c r="H14" s="92"/>
      <c r="J14" s="92"/>
      <c r="K14" s="92"/>
      <c r="L14" s="92"/>
      <c r="M14" s="92"/>
      <c r="O14" s="112" t="s">
        <v>56</v>
      </c>
      <c r="P14" s="112"/>
      <c r="Q14" s="113"/>
      <c r="R14" s="114" t="s">
        <v>57</v>
      </c>
      <c r="S14" s="114"/>
      <c r="T14" s="115"/>
    </row>
    <row r="15" customFormat="false" ht="15.75" hidden="false" customHeight="false" outlineLevel="0" collapsed="false">
      <c r="A15" s="116"/>
      <c r="B15" s="116"/>
      <c r="C15" s="116"/>
      <c r="E15" s="92"/>
      <c r="F15" s="92"/>
      <c r="G15" s="92"/>
      <c r="H15" s="92"/>
      <c r="J15" s="92"/>
      <c r="K15" s="92"/>
      <c r="L15" s="92"/>
      <c r="M15" s="92"/>
      <c r="O15" s="117" t="s">
        <v>277</v>
      </c>
      <c r="P15" s="118" t="e">
        <f aca="false">'kryteria badany'!n$15</f>
        <v>#NAME?</v>
      </c>
      <c r="Q15" s="113"/>
      <c r="R15" s="117" t="s">
        <v>277</v>
      </c>
      <c r="S15" s="118" t="e">
        <f aca="false">'kryteria badany'!s$15</f>
        <v>#NAME?</v>
      </c>
      <c r="T15" s="119"/>
    </row>
    <row r="16" customFormat="false" ht="15.75" hidden="false" customHeight="false" outlineLevel="0" collapsed="false">
      <c r="A16" s="116"/>
      <c r="B16" s="116"/>
      <c r="C16" s="116"/>
      <c r="E16" s="92"/>
      <c r="F16" s="92"/>
      <c r="G16" s="92"/>
      <c r="H16" s="92"/>
      <c r="J16" s="92"/>
      <c r="K16" s="92"/>
      <c r="L16" s="92"/>
      <c r="M16" s="92"/>
      <c r="O16" s="117" t="s">
        <v>278</v>
      </c>
      <c r="P16" s="118" t="e">
        <f aca="false">'kryteria lider'!n$15</f>
        <v>#NAME?</v>
      </c>
      <c r="Q16" s="113"/>
      <c r="R16" s="117" t="s">
        <v>278</v>
      </c>
      <c r="S16" s="118" t="e">
        <f aca="false">'kryteria lider'!s$15</f>
        <v>#NAME?</v>
      </c>
      <c r="T16" s="119"/>
    </row>
    <row r="17" customFormat="false" ht="15.75" hidden="false" customHeight="false" outlineLevel="0" collapsed="false">
      <c r="A17" s="116"/>
      <c r="B17" s="116"/>
      <c r="C17" s="116"/>
      <c r="E17" s="92"/>
      <c r="F17" s="92"/>
      <c r="G17" s="92"/>
      <c r="H17" s="92"/>
      <c r="J17" s="92"/>
      <c r="K17" s="92"/>
      <c r="L17" s="92"/>
      <c r="M17" s="92"/>
      <c r="O17" s="117" t="s">
        <v>279</v>
      </c>
      <c r="P17" s="118" t="e">
        <f aca="false">'kryteria hr'!n$15</f>
        <v>#NAME?</v>
      </c>
      <c r="Q17" s="113"/>
      <c r="R17" s="117" t="s">
        <v>279</v>
      </c>
      <c r="S17" s="118" t="e">
        <f aca="false">'kryteria hr'!s$15</f>
        <v>#NAME?</v>
      </c>
      <c r="T17" s="119"/>
    </row>
    <row r="18" customFormat="false" ht="15.75" hidden="false" customHeight="false" outlineLevel="0" collapsed="false">
      <c r="A18" s="116"/>
      <c r="B18" s="116"/>
      <c r="C18" s="116"/>
      <c r="E18" s="92"/>
      <c r="F18" s="92"/>
      <c r="G18" s="92"/>
      <c r="H18" s="92"/>
      <c r="J18" s="92"/>
      <c r="K18" s="92"/>
      <c r="L18" s="92"/>
      <c r="M18" s="92"/>
      <c r="O18" s="117" t="s">
        <v>280</v>
      </c>
      <c r="P18" s="118" t="e">
        <f aca="false">'kryteria overseer'!n$15</f>
        <v>#NAME?</v>
      </c>
      <c r="Q18" s="113"/>
      <c r="R18" s="117" t="s">
        <v>280</v>
      </c>
      <c r="S18" s="118" t="e">
        <f aca="false">'kryteria overseer'!s$15</f>
        <v>#NAME?</v>
      </c>
      <c r="T18" s="119"/>
    </row>
    <row r="19" customFormat="false" ht="15.75" hidden="false" customHeight="false" outlineLevel="0" collapsed="false">
      <c r="A19" s="116"/>
      <c r="B19" s="116"/>
      <c r="C19" s="116"/>
      <c r="E19" s="92"/>
      <c r="F19" s="92"/>
      <c r="G19" s="92"/>
      <c r="H19" s="92"/>
      <c r="J19" s="92"/>
      <c r="K19" s="92"/>
      <c r="L19" s="92"/>
      <c r="M19" s="92"/>
      <c r="O19" s="120"/>
      <c r="P19" s="121" t="e">
        <f aca="false">AVERAGE($P15:$P18)*100</f>
        <v>#NAME?</v>
      </c>
      <c r="Q19" s="122" t="s">
        <v>281</v>
      </c>
      <c r="R19" s="120"/>
      <c r="S19" s="121" t="e">
        <f aca="false">AVERAGE($S15:$S18)*100</f>
        <v>#NAME?</v>
      </c>
    </row>
    <row r="20" customFormat="false" ht="15.75" hidden="false" customHeight="false" outlineLevel="0" collapsed="false">
      <c r="A20" s="116"/>
      <c r="B20" s="116"/>
      <c r="C20" s="116"/>
      <c r="E20" s="92"/>
      <c r="F20" s="92"/>
      <c r="G20" s="92"/>
      <c r="H20" s="92"/>
      <c r="J20" s="92"/>
      <c r="K20" s="92"/>
      <c r="L20" s="92"/>
      <c r="M20" s="92"/>
      <c r="O20" s="123"/>
      <c r="P20" s="123"/>
      <c r="Q20" s="115"/>
      <c r="R20" s="124"/>
      <c r="S20" s="124"/>
    </row>
    <row r="21" customFormat="false" ht="15.75" hidden="false" customHeight="false" outlineLevel="0" collapsed="false">
      <c r="A21" s="116"/>
      <c r="B21" s="116"/>
      <c r="C21" s="116"/>
      <c r="E21" s="92"/>
      <c r="F21" s="92"/>
      <c r="G21" s="92"/>
      <c r="H21" s="92"/>
      <c r="J21" s="92"/>
      <c r="K21" s="92"/>
      <c r="L21" s="92"/>
      <c r="M21" s="92"/>
      <c r="O21" s="124"/>
      <c r="P21" s="124"/>
      <c r="Q21" s="124"/>
      <c r="R21" s="124"/>
      <c r="S21" s="124"/>
    </row>
    <row r="22" customFormat="false" ht="15.75" hidden="false" customHeight="false" outlineLevel="0" collapsed="false">
      <c r="A22" s="116"/>
      <c r="B22" s="116"/>
      <c r="C22" s="116"/>
      <c r="E22" s="92"/>
      <c r="F22" s="92"/>
      <c r="G22" s="92"/>
      <c r="H22" s="92"/>
      <c r="J22" s="92"/>
      <c r="K22" s="92"/>
      <c r="L22" s="92"/>
      <c r="M22" s="92"/>
    </row>
    <row r="23" customFormat="false" ht="15.75" hidden="false" customHeight="false" outlineLevel="0" collapsed="false">
      <c r="A23" s="116"/>
      <c r="B23" s="116"/>
      <c r="C23" s="116"/>
      <c r="E23" s="92"/>
      <c r="F23" s="92"/>
      <c r="G23" s="92"/>
      <c r="H23" s="92"/>
      <c r="J23" s="92"/>
      <c r="K23" s="92"/>
      <c r="L23" s="92"/>
      <c r="M23" s="92"/>
    </row>
    <row r="24" customFormat="false" ht="15.75" hidden="false" customHeight="false" outlineLevel="0" collapsed="false">
      <c r="A24" s="116"/>
      <c r="B24" s="116"/>
      <c r="C24" s="116"/>
      <c r="E24" s="92"/>
      <c r="F24" s="92"/>
      <c r="G24" s="92"/>
      <c r="H24" s="92"/>
      <c r="J24" s="92"/>
      <c r="K24" s="92"/>
      <c r="L24" s="92"/>
      <c r="M24" s="92"/>
    </row>
    <row r="25" customFormat="false" ht="15.75" hidden="false" customHeight="false" outlineLevel="0" collapsed="false">
      <c r="A25" s="116"/>
      <c r="B25" s="116"/>
      <c r="C25" s="116"/>
      <c r="E25" s="92"/>
      <c r="F25" s="92"/>
      <c r="G25" s="92"/>
      <c r="H25" s="92"/>
      <c r="J25" s="92"/>
      <c r="K25" s="92"/>
      <c r="L25" s="92"/>
      <c r="M25" s="92"/>
    </row>
    <row r="26" customFormat="false" ht="15.75" hidden="false" customHeight="false" outlineLevel="0" collapsed="false">
      <c r="A26" s="108"/>
      <c r="B26" s="125" t="s">
        <v>282</v>
      </c>
      <c r="C26" s="126"/>
      <c r="E26" s="92"/>
      <c r="F26" s="92"/>
      <c r="G26" s="92"/>
      <c r="H26" s="92"/>
      <c r="J26" s="92"/>
      <c r="K26" s="92"/>
      <c r="L26" s="92"/>
      <c r="M26" s="92"/>
    </row>
    <row r="27" customFormat="false" ht="15.75" hidden="false" customHeight="false" outlineLevel="0" collapsed="false">
      <c r="B27" s="127" t="s">
        <v>283</v>
      </c>
      <c r="C27" s="128" t="n">
        <f aca="false">IFERROR($E$82,)</f>
        <v>0</v>
      </c>
      <c r="E27" s="92"/>
      <c r="F27" s="92"/>
      <c r="G27" s="92"/>
      <c r="H27" s="92"/>
      <c r="J27" s="92"/>
      <c r="K27" s="92"/>
      <c r="L27" s="92"/>
      <c r="M27" s="92"/>
    </row>
    <row r="28" customFormat="false" ht="15.75" hidden="false" customHeight="false" outlineLevel="0" collapsed="false">
      <c r="A28" s="129"/>
      <c r="B28" s="129" t="s">
        <v>284</v>
      </c>
      <c r="C28" s="128" t="n">
        <f aca="false">IFERROR($J$82,)</f>
        <v>0</v>
      </c>
      <c r="E28" s="92"/>
      <c r="F28" s="92"/>
      <c r="G28" s="92"/>
      <c r="H28" s="92"/>
      <c r="J28" s="92"/>
      <c r="K28" s="92"/>
      <c r="L28" s="92"/>
      <c r="M28" s="92"/>
    </row>
    <row r="29" customFormat="false" ht="15.75" hidden="false" customHeight="false" outlineLevel="0" collapsed="false">
      <c r="A29" s="108"/>
      <c r="B29" s="129" t="s">
        <v>285</v>
      </c>
      <c r="C29" s="128" t="n">
        <f aca="false">IFERROR($O$82,)</f>
        <v>0</v>
      </c>
      <c r="E29" s="92"/>
      <c r="F29" s="92"/>
      <c r="G29" s="92"/>
      <c r="H29" s="92"/>
      <c r="J29" s="92"/>
      <c r="K29" s="92"/>
      <c r="L29" s="92"/>
      <c r="M29" s="92"/>
    </row>
    <row r="30" customFormat="false" ht="15.75" hidden="false" customHeight="false" outlineLevel="0" collapsed="false">
      <c r="A30" s="130"/>
      <c r="B30" s="131" t="s">
        <v>286</v>
      </c>
      <c r="C30" s="132" t="n">
        <f aca="false">IFERROR($T$82,)</f>
        <v>0</v>
      </c>
      <c r="E30" s="92"/>
      <c r="F30" s="92"/>
      <c r="G30" s="92"/>
      <c r="H30" s="92"/>
      <c r="J30" s="92"/>
      <c r="K30" s="92"/>
      <c r="L30" s="92"/>
      <c r="M30" s="92"/>
    </row>
    <row r="32" customFormat="false" ht="15.75" hidden="false" customHeight="false" outlineLevel="0" collapsed="false">
      <c r="F32" s="133"/>
      <c r="K32" s="133"/>
      <c r="P32" s="133"/>
    </row>
    <row r="33" customFormat="false" ht="24.75" hidden="false" customHeight="true" outlineLevel="0" collapsed="false">
      <c r="A33" s="134"/>
      <c r="B33" s="15" t="s">
        <v>54</v>
      </c>
      <c r="C33" s="15"/>
      <c r="D33" s="15"/>
      <c r="E33" s="15"/>
      <c r="F33" s="135"/>
      <c r="G33" s="15" t="s">
        <v>55</v>
      </c>
      <c r="H33" s="15"/>
      <c r="I33" s="15"/>
      <c r="J33" s="15"/>
      <c r="K33" s="135"/>
      <c r="L33" s="15" t="s">
        <v>56</v>
      </c>
      <c r="M33" s="15"/>
      <c r="N33" s="15"/>
      <c r="O33" s="15"/>
      <c r="P33" s="135"/>
      <c r="Q33" s="15" t="s">
        <v>57</v>
      </c>
      <c r="R33" s="15"/>
      <c r="S33" s="15"/>
      <c r="T33" s="15"/>
      <c r="U33" s="19"/>
      <c r="V33" s="136"/>
      <c r="W33" s="44"/>
      <c r="X33" s="44"/>
      <c r="Y33" s="44"/>
      <c r="Z33" s="44"/>
    </row>
    <row r="34" customFormat="false" ht="15.75" hidden="false" customHeight="true" outlineLevel="0" collapsed="false">
      <c r="A34" s="137" t="s">
        <v>287</v>
      </c>
      <c r="B34" s="117" t="s">
        <v>277</v>
      </c>
      <c r="C34" s="138" t="e">
        <f aca="false">'kryteria badany'!d$23</f>
        <v>#NAME?</v>
      </c>
      <c r="D34" s="138" t="n">
        <f aca="false">IFERROR(C34,0)</f>
        <v>0</v>
      </c>
      <c r="E34" s="139" t="e">
        <f aca="false">'kryteria badany'!f$23</f>
        <v>#NAME?</v>
      </c>
      <c r="F34" s="140"/>
      <c r="G34" s="117" t="s">
        <v>277</v>
      </c>
      <c r="H34" s="138" t="e">
        <f aca="false">'kryteria badany'!i$23</f>
        <v>#NAME?</v>
      </c>
      <c r="I34" s="138" t="n">
        <f aca="false">IFERROR(H34,0)</f>
        <v>0</v>
      </c>
      <c r="J34" s="139" t="e">
        <f aca="false">'kryteria badany'!k$23</f>
        <v>#NAME?</v>
      </c>
      <c r="K34" s="140"/>
      <c r="L34" s="117" t="s">
        <v>277</v>
      </c>
      <c r="M34" s="138" t="e">
        <f aca="false">'kryteria badany'!n$23</f>
        <v>#NAME?</v>
      </c>
      <c r="N34" s="138" t="n">
        <f aca="false">IFERROR(M34,0)</f>
        <v>0</v>
      </c>
      <c r="O34" s="139" t="e">
        <f aca="false">'kryteria badany'!p$23</f>
        <v>#NAME?</v>
      </c>
      <c r="P34" s="140"/>
      <c r="Q34" s="117" t="s">
        <v>277</v>
      </c>
      <c r="R34" s="138" t="e">
        <f aca="false">'kryteria badany'!s$23</f>
        <v>#NAME?</v>
      </c>
      <c r="S34" s="138" t="n">
        <f aca="false">IFERROR(R34,0)</f>
        <v>0</v>
      </c>
      <c r="T34" s="139" t="e">
        <f aca="false">'kryteria badany'!u$23</f>
        <v>#NAME?</v>
      </c>
      <c r="U34" s="141"/>
      <c r="V34" s="142"/>
    </row>
    <row r="35" customFormat="false" ht="15.75" hidden="false" customHeight="false" outlineLevel="0" collapsed="false">
      <c r="A35" s="137"/>
      <c r="B35" s="117" t="s">
        <v>278</v>
      </c>
      <c r="C35" s="138" t="e">
        <f aca="false">'kryteria lider'!d$23</f>
        <v>#NAME?</v>
      </c>
      <c r="D35" s="138" t="n">
        <f aca="false">IFERROR(C35,0)</f>
        <v>0</v>
      </c>
      <c r="E35" s="139" t="e">
        <f aca="false">'kryteria lider'!f$23</f>
        <v>#NAME?</v>
      </c>
      <c r="F35" s="140"/>
      <c r="G35" s="117" t="s">
        <v>278</v>
      </c>
      <c r="H35" s="138" t="e">
        <f aca="false">'kryteria lider'!i$23</f>
        <v>#NAME?</v>
      </c>
      <c r="I35" s="138" t="n">
        <f aca="false">IFERROR(H35,0)</f>
        <v>0</v>
      </c>
      <c r="J35" s="139" t="e">
        <f aca="false">'kryteria lider'!k$23</f>
        <v>#NAME?</v>
      </c>
      <c r="K35" s="140"/>
      <c r="L35" s="117" t="s">
        <v>278</v>
      </c>
      <c r="M35" s="138" t="e">
        <f aca="false">'kryteria lider'!n$23</f>
        <v>#NAME?</v>
      </c>
      <c r="N35" s="138" t="n">
        <f aca="false">IFERROR(M35,0)</f>
        <v>0</v>
      </c>
      <c r="O35" s="139" t="e">
        <f aca="false">'kryteria lider'!p$23</f>
        <v>#NAME?</v>
      </c>
      <c r="P35" s="140"/>
      <c r="Q35" s="117" t="s">
        <v>278</v>
      </c>
      <c r="R35" s="138" t="e">
        <f aca="false">'kryteria lider'!s$23</f>
        <v>#NAME?</v>
      </c>
      <c r="S35" s="138" t="n">
        <f aca="false">IFERROR(R35,0)</f>
        <v>0</v>
      </c>
      <c r="T35" s="139" t="e">
        <f aca="false">'kryteria lider'!u$23</f>
        <v>#NAME?</v>
      </c>
      <c r="U35" s="141"/>
      <c r="V35" s="142"/>
    </row>
    <row r="36" customFormat="false" ht="15.75" hidden="false" customHeight="false" outlineLevel="0" collapsed="false">
      <c r="A36" s="137"/>
      <c r="B36" s="117" t="s">
        <v>279</v>
      </c>
      <c r="C36" s="138" t="e">
        <f aca="false">'kryteria hr'!d$23</f>
        <v>#NAME?</v>
      </c>
      <c r="D36" s="138" t="n">
        <f aca="false">IFERROR(C36,0)</f>
        <v>0</v>
      </c>
      <c r="E36" s="139" t="e">
        <f aca="false">'kryteria hr'!f$23</f>
        <v>#NAME?</v>
      </c>
      <c r="F36" s="140"/>
      <c r="G36" s="117" t="s">
        <v>279</v>
      </c>
      <c r="H36" s="138" t="e">
        <f aca="false">'kryteria hr'!i$23</f>
        <v>#NAME?</v>
      </c>
      <c r="I36" s="138" t="n">
        <f aca="false">IFERROR(H36,0)</f>
        <v>0</v>
      </c>
      <c r="J36" s="139" t="e">
        <f aca="false">'kryteria hr'!k$23</f>
        <v>#NAME?</v>
      </c>
      <c r="K36" s="140"/>
      <c r="L36" s="117" t="s">
        <v>279</v>
      </c>
      <c r="M36" s="138" t="e">
        <f aca="false">'kryteria hr'!n$23</f>
        <v>#NAME?</v>
      </c>
      <c r="N36" s="138" t="n">
        <f aca="false">IFERROR(M36,0)</f>
        <v>0</v>
      </c>
      <c r="O36" s="139" t="e">
        <f aca="false">'kryteria hr'!p$23</f>
        <v>#NAME?</v>
      </c>
      <c r="P36" s="140"/>
      <c r="Q36" s="117" t="s">
        <v>279</v>
      </c>
      <c r="R36" s="138" t="e">
        <f aca="false">'kryteria hr'!s$23</f>
        <v>#NAME?</v>
      </c>
      <c r="S36" s="138" t="n">
        <f aca="false">IFERROR(R36,0)</f>
        <v>0</v>
      </c>
      <c r="T36" s="139" t="e">
        <f aca="false">'kryteria hr'!u$23</f>
        <v>#NAME?</v>
      </c>
      <c r="U36" s="141"/>
      <c r="V36" s="142"/>
    </row>
    <row r="37" customFormat="false" ht="15.75" hidden="false" customHeight="false" outlineLevel="0" collapsed="false">
      <c r="A37" s="137"/>
      <c r="B37" s="117" t="s">
        <v>280</v>
      </c>
      <c r="C37" s="138" t="e">
        <f aca="false">'kryteria overseer'!d$23</f>
        <v>#NAME?</v>
      </c>
      <c r="D37" s="138" t="n">
        <f aca="false">IFERROR(C37,0)</f>
        <v>0</v>
      </c>
      <c r="E37" s="139" t="e">
        <f aca="false">'kryteria overseer'!f$23</f>
        <v>#NAME?</v>
      </c>
      <c r="F37" s="140"/>
      <c r="G37" s="117" t="s">
        <v>280</v>
      </c>
      <c r="H37" s="138" t="e">
        <f aca="false">'kryteria overseer'!i$23</f>
        <v>#NAME?</v>
      </c>
      <c r="I37" s="138" t="n">
        <f aca="false">IFERROR(H37,0)</f>
        <v>0</v>
      </c>
      <c r="J37" s="139" t="e">
        <f aca="false">'kryteria overseer'!k$23</f>
        <v>#NAME?</v>
      </c>
      <c r="K37" s="140"/>
      <c r="L37" s="117" t="s">
        <v>280</v>
      </c>
      <c r="M37" s="138" t="e">
        <f aca="false">'kryteria overseer'!n$23</f>
        <v>#NAME?</v>
      </c>
      <c r="N37" s="138" t="n">
        <f aca="false">IFERROR(M37,0)</f>
        <v>0</v>
      </c>
      <c r="O37" s="139" t="e">
        <f aca="false">'kryteria overseer'!p$23</f>
        <v>#NAME?</v>
      </c>
      <c r="P37" s="140"/>
      <c r="Q37" s="117" t="s">
        <v>280</v>
      </c>
      <c r="R37" s="138" t="e">
        <f aca="false">'kryteria overseer'!s$23</f>
        <v>#NAME?</v>
      </c>
      <c r="S37" s="138" t="n">
        <f aca="false">IFERROR(R37,0)</f>
        <v>0</v>
      </c>
      <c r="T37" s="139" t="e">
        <f aca="false">'kryteria overseer'!u$23</f>
        <v>#NAME?</v>
      </c>
      <c r="U37" s="141"/>
      <c r="V37" s="142"/>
    </row>
    <row r="38" customFormat="false" ht="24.4" hidden="false" customHeight="false" outlineLevel="0" collapsed="false">
      <c r="A38" s="137"/>
      <c r="B38" s="143" t="s">
        <v>92</v>
      </c>
      <c r="C38" s="144" t="e">
        <f aca="false">SUM(E34:E37)/
(
COUNT(C34:C37)*
'kryteria badany'!g$23
)</f>
        <v>#NAME?</v>
      </c>
      <c r="D38" s="145" t="e">
        <f aca="false">ifs(
ISERR(C38),
"",
ISNUMBER(C38),
C38&gt;=0.5
)</f>
        <v>#NAME?</v>
      </c>
      <c r="E38" s="146" t="str">
        <f aca="false">IFERROR(__xludf.dummyfunction("IFS(
OR(
EXACT(""Error - check cell values"",D34),
EXACT(""Error - check cell values"",D35),
EXACT(""Error - check cell values"",D36),
EXACT(""Error - check cell values"",D37),
),
""Error - check cell values"",
EXACT("""",D38),
""Empty section"",
NOT(D3"&amp;"8),
""Too few answers"",
D38,
AVERAGE.WEIGHTED(D34:D37,E34:E37)*100
)"),"Empty section")</f>
        <v>Empty section</v>
      </c>
      <c r="F38" s="140"/>
      <c r="G38" s="143" t="s">
        <v>92</v>
      </c>
      <c r="H38" s="144" t="e">
        <f aca="false">SUM(J34:J37)/
(
COUNT(H34:H37)*
'kryteria badany'!l$23
)</f>
        <v>#NAME?</v>
      </c>
      <c r="I38" s="145" t="e">
        <f aca="false">ifs(
ISERR(H38),
"",
ISNUMBER(H38),
H38&gt;=0.5
)</f>
        <v>#NAME?</v>
      </c>
      <c r="J38" s="146" t="str">
        <f aca="false">IFERROR(__xludf.dummyfunction("IFS(
OR(
EXACT(""Error - check cell values"",I34),
EXACT(""Error - check cell values"",I35),
EXACT(""Error - check cell values"",I36),
EXACT(""Error - check cell values"",I37),
),
""Error - check cell values"",
EXACT("""",I38),
""Empty section"",
NOT(I3"&amp;"8),
""Too few answers"",
I38,
AVERAGE.WEIGHTED(I34:I37,J34:J37)*100
)"),"Empty section")</f>
        <v>Empty section</v>
      </c>
      <c r="K38" s="147"/>
      <c r="L38" s="143" t="s">
        <v>92</v>
      </c>
      <c r="M38" s="144" t="e">
        <f aca="false">SUM(O34:O37)/
(
COUNT(M34:M37)*
'kryteria badany'!q$23
)</f>
        <v>#NAME?</v>
      </c>
      <c r="N38" s="145" t="e">
        <f aca="false">ifs(
ISERR(M38),
"",
ISNUMBER(M38),
M38&gt;=0.5
)</f>
        <v>#NAME?</v>
      </c>
      <c r="O38" s="146" t="str">
        <f aca="false">IFERROR(__xludf.dummyfunction("IFS(
OR(
EXACT(""Error - check cell values"",N34),
EXACT(""Error - check cell values"",N35),
EXACT(""Error - check cell values"",N36),
EXACT(""Error - check cell values"",N37),
),
""Error - check cell values"",
EXACT("""",N38),
""Empty section"",
NOT(N3"&amp;"8),
""Too few answers"",
N38,
AVERAGE.WEIGHTED(N34:N37,O34:O37)*100
)"),"Empty section")</f>
        <v>Empty section</v>
      </c>
      <c r="P38" s="147"/>
      <c r="Q38" s="143" t="s">
        <v>92</v>
      </c>
      <c r="R38" s="144" t="e">
        <f aca="false">SUM(T34:T37)/
(
COUNT(R34:R37)*
'kryteria badany'!v$23
)</f>
        <v>#NAME?</v>
      </c>
      <c r="S38" s="145" t="e">
        <f aca="false">ifs(
ISERR(R38),
"",
ISNUMBER(R38),
R38&gt;=0.5
)</f>
        <v>#NAME?</v>
      </c>
      <c r="T38" s="146" t="str">
        <f aca="false">IFERROR(__xludf.dummyfunction("IFS(
OR(
EXACT(""Error - check cell values"",S34),
EXACT(""Error - check cell values"",S35),
EXACT(""Error - check cell values"",S36),
EXACT(""Error - check cell values"",S37),
),
""Error - check cell values"",
EXACT("""",S38),
""Empty section"",
NOT(S3"&amp;"8),
""Too few answers"",
S38,
AVERAGE.WEIGHTED(S34:S37,T34:T37)*100
)"),"Empty section")</f>
        <v>Empty section</v>
      </c>
      <c r="U38" s="148"/>
      <c r="V38" s="142"/>
      <c r="X38" s="149"/>
      <c r="Y38" s="149"/>
      <c r="Z38" s="149"/>
    </row>
    <row r="39" customFormat="false" ht="15.75" hidden="false" customHeight="false" outlineLevel="0" collapsed="false">
      <c r="A39" s="150"/>
      <c r="B39" s="151"/>
      <c r="C39" s="151"/>
      <c r="D39" s="151"/>
      <c r="E39" s="151"/>
      <c r="F39" s="140"/>
      <c r="G39" s="151"/>
      <c r="H39" s="151"/>
      <c r="I39" s="151"/>
      <c r="J39" s="151"/>
      <c r="K39" s="140"/>
      <c r="L39" s="151"/>
      <c r="M39" s="151"/>
      <c r="N39" s="151"/>
      <c r="O39" s="152"/>
      <c r="P39" s="140"/>
      <c r="Q39" s="151"/>
      <c r="R39" s="151"/>
      <c r="S39" s="151"/>
      <c r="T39" s="151"/>
      <c r="U39" s="141"/>
      <c r="V39" s="142"/>
    </row>
    <row r="40" customFormat="false" ht="15.75" hidden="false" customHeight="true" outlineLevel="0" collapsed="false">
      <c r="A40" s="137" t="s">
        <v>288</v>
      </c>
      <c r="B40" s="117" t="s">
        <v>277</v>
      </c>
      <c r="C40" s="138" t="e">
        <f aca="false">'kryteria badany'!d$28</f>
        <v>#NAME?</v>
      </c>
      <c r="D40" s="138" t="n">
        <f aca="false">IFERROR(C40,0)</f>
        <v>0</v>
      </c>
      <c r="E40" s="139" t="e">
        <f aca="false">'kryteria badany'!f$28</f>
        <v>#NAME?</v>
      </c>
      <c r="F40" s="140"/>
      <c r="G40" s="117" t="s">
        <v>277</v>
      </c>
      <c r="H40" s="138" t="e">
        <f aca="false">'kryteria badany'!i$28</f>
        <v>#NAME?</v>
      </c>
      <c r="I40" s="138" t="n">
        <f aca="false">IFERROR(H40,0)</f>
        <v>0</v>
      </c>
      <c r="J40" s="139" t="e">
        <f aca="false">'kryteria badany'!k$28</f>
        <v>#NAME?</v>
      </c>
      <c r="K40" s="140"/>
      <c r="L40" s="117" t="s">
        <v>277</v>
      </c>
      <c r="M40" s="138" t="e">
        <f aca="false">'kryteria badany'!n$28</f>
        <v>#NAME?</v>
      </c>
      <c r="N40" s="138" t="n">
        <f aca="false">IFERROR(M40,0)</f>
        <v>0</v>
      </c>
      <c r="O40" s="139" t="e">
        <f aca="false">'kryteria badany'!p$28</f>
        <v>#NAME?</v>
      </c>
      <c r="P40" s="140"/>
      <c r="Q40" s="117" t="s">
        <v>277</v>
      </c>
      <c r="R40" s="138" t="e">
        <f aca="false">'kryteria badany'!s$28</f>
        <v>#NAME?</v>
      </c>
      <c r="S40" s="138" t="n">
        <f aca="false">IFERROR(R40,0)</f>
        <v>0</v>
      </c>
      <c r="T40" s="139" t="e">
        <f aca="false">'kryteria badany'!u$28</f>
        <v>#NAME?</v>
      </c>
      <c r="U40" s="141"/>
      <c r="V40" s="142"/>
    </row>
    <row r="41" customFormat="false" ht="15.75" hidden="false" customHeight="false" outlineLevel="0" collapsed="false">
      <c r="A41" s="137"/>
      <c r="B41" s="117" t="s">
        <v>278</v>
      </c>
      <c r="C41" s="138" t="e">
        <f aca="false">'kryteria lider'!d$28</f>
        <v>#NAME?</v>
      </c>
      <c r="D41" s="138" t="n">
        <f aca="false">IFERROR(C41,0)</f>
        <v>0</v>
      </c>
      <c r="E41" s="139" t="e">
        <f aca="false">'kryteria lider'!f$28</f>
        <v>#NAME?</v>
      </c>
      <c r="F41" s="140"/>
      <c r="G41" s="117" t="s">
        <v>278</v>
      </c>
      <c r="H41" s="138" t="e">
        <f aca="false">'kryteria lider'!i$28</f>
        <v>#NAME?</v>
      </c>
      <c r="I41" s="138" t="n">
        <f aca="false">IFERROR(H41,0)</f>
        <v>0</v>
      </c>
      <c r="J41" s="139" t="e">
        <f aca="false">'kryteria lider'!k$28</f>
        <v>#NAME?</v>
      </c>
      <c r="K41" s="140"/>
      <c r="L41" s="117" t="s">
        <v>278</v>
      </c>
      <c r="M41" s="138" t="e">
        <f aca="false">'kryteria lider'!n$28</f>
        <v>#NAME?</v>
      </c>
      <c r="N41" s="138" t="n">
        <f aca="false">IFERROR(M41,0)</f>
        <v>0</v>
      </c>
      <c r="O41" s="139" t="e">
        <f aca="false">'kryteria lider'!p$28</f>
        <v>#NAME?</v>
      </c>
      <c r="P41" s="140"/>
      <c r="Q41" s="117" t="s">
        <v>278</v>
      </c>
      <c r="R41" s="138" t="e">
        <f aca="false">'kryteria lider'!s$28</f>
        <v>#NAME?</v>
      </c>
      <c r="S41" s="138" t="n">
        <f aca="false">IFERROR(R41,0)</f>
        <v>0</v>
      </c>
      <c r="T41" s="139" t="e">
        <f aca="false">'kryteria lider'!u$28</f>
        <v>#NAME?</v>
      </c>
      <c r="U41" s="141"/>
      <c r="V41" s="142"/>
    </row>
    <row r="42" customFormat="false" ht="15.75" hidden="false" customHeight="false" outlineLevel="0" collapsed="false">
      <c r="A42" s="137"/>
      <c r="B42" s="117" t="s">
        <v>279</v>
      </c>
      <c r="C42" s="138" t="e">
        <f aca="false">'kryteria hr'!d$28</f>
        <v>#NAME?</v>
      </c>
      <c r="D42" s="138" t="n">
        <f aca="false">IFERROR(C42,0)</f>
        <v>0</v>
      </c>
      <c r="E42" s="139" t="e">
        <f aca="false">'kryteria hr'!f$28</f>
        <v>#NAME?</v>
      </c>
      <c r="F42" s="140"/>
      <c r="G42" s="117" t="s">
        <v>279</v>
      </c>
      <c r="H42" s="138" t="e">
        <f aca="false">'kryteria hr'!i$28</f>
        <v>#NAME?</v>
      </c>
      <c r="I42" s="138" t="n">
        <f aca="false">IFERROR(H42,0)</f>
        <v>0</v>
      </c>
      <c r="J42" s="139" t="e">
        <f aca="false">'kryteria hr'!k$28</f>
        <v>#NAME?</v>
      </c>
      <c r="K42" s="140"/>
      <c r="L42" s="117" t="s">
        <v>279</v>
      </c>
      <c r="M42" s="138" t="e">
        <f aca="false">'kryteria hr'!n$28</f>
        <v>#NAME?</v>
      </c>
      <c r="N42" s="138" t="n">
        <f aca="false">IFERROR(M42,0)</f>
        <v>0</v>
      </c>
      <c r="O42" s="139" t="e">
        <f aca="false">'kryteria hr'!p$28</f>
        <v>#NAME?</v>
      </c>
      <c r="P42" s="140"/>
      <c r="Q42" s="117" t="s">
        <v>279</v>
      </c>
      <c r="R42" s="138" t="e">
        <f aca="false">'kryteria hr'!s$28</f>
        <v>#NAME?</v>
      </c>
      <c r="S42" s="138" t="n">
        <f aca="false">IFERROR(R42,0)</f>
        <v>0</v>
      </c>
      <c r="T42" s="139" t="e">
        <f aca="false">'kryteria hr'!u$28</f>
        <v>#NAME?</v>
      </c>
      <c r="U42" s="141"/>
      <c r="V42" s="142"/>
    </row>
    <row r="43" customFormat="false" ht="15.75" hidden="false" customHeight="false" outlineLevel="0" collapsed="false">
      <c r="A43" s="137"/>
      <c r="B43" s="117" t="s">
        <v>280</v>
      </c>
      <c r="C43" s="138" t="e">
        <f aca="false">'kryteria overseer'!d$28</f>
        <v>#NAME?</v>
      </c>
      <c r="D43" s="138" t="n">
        <f aca="false">IFERROR(C43,0)</f>
        <v>0</v>
      </c>
      <c r="E43" s="139" t="e">
        <f aca="false">'kryteria overseer'!f$17</f>
        <v>#NAME?</v>
      </c>
      <c r="F43" s="140"/>
      <c r="G43" s="117" t="s">
        <v>280</v>
      </c>
      <c r="H43" s="138" t="e">
        <f aca="false">'kryteria overseer'!i$28</f>
        <v>#NAME?</v>
      </c>
      <c r="I43" s="138" t="n">
        <f aca="false">IFERROR(H43,0)</f>
        <v>0</v>
      </c>
      <c r="J43" s="139" t="e">
        <f aca="false">'kryteria overseer'!k$28</f>
        <v>#NAME?</v>
      </c>
      <c r="K43" s="140"/>
      <c r="L43" s="117" t="s">
        <v>280</v>
      </c>
      <c r="M43" s="138" t="e">
        <f aca="false">'kryteria overseer'!n$28</f>
        <v>#NAME?</v>
      </c>
      <c r="N43" s="138" t="n">
        <f aca="false">IFERROR(M43,0)</f>
        <v>0</v>
      </c>
      <c r="O43" s="139" t="e">
        <f aca="false">'kryteria overseer'!p$28</f>
        <v>#NAME?</v>
      </c>
      <c r="P43" s="140"/>
      <c r="Q43" s="117" t="s">
        <v>280</v>
      </c>
      <c r="R43" s="138" t="e">
        <f aca="false">'kryteria overseer'!s$28</f>
        <v>#NAME?</v>
      </c>
      <c r="S43" s="138" t="n">
        <f aca="false">IFERROR(R43,0)</f>
        <v>0</v>
      </c>
      <c r="T43" s="139" t="e">
        <f aca="false">'kryteria overseer'!u$28</f>
        <v>#NAME?</v>
      </c>
      <c r="U43" s="141"/>
      <c r="V43" s="142"/>
    </row>
    <row r="44" customFormat="false" ht="24.4" hidden="false" customHeight="false" outlineLevel="0" collapsed="false">
      <c r="A44" s="137"/>
      <c r="B44" s="143" t="s">
        <v>114</v>
      </c>
      <c r="C44" s="144" t="e">
        <f aca="false">SUM(E40:E43)/
(
COUNT(C40:C43)*
'kryteria badany'!g$28
)</f>
        <v>#NAME?</v>
      </c>
      <c r="D44" s="145" t="e">
        <f aca="false">ifs(
ISERR(C44),
"",
ISNUMBER(C44),
C44&gt;=0.5
)</f>
        <v>#NAME?</v>
      </c>
      <c r="E44" s="146" t="str">
        <f aca="false">IFERROR(__xludf.dummyfunction("IFS(
OR(
EXACT(""Error - check cell values"",D40),
EXACT(""Error - check cell values"",D41),
EXACT(""Error - check cell values"",D42),
EXACT(""Error - check cell values"",D43),
),
""Error - check cell values"",
EXACT("""",D44),
""Empty section"",
NOT(D4"&amp;"4),
""Too few answers"",
D44,
AVERAGE.WEIGHTED(D40:D43,E40:E43)*100
)"),"Empty section")</f>
        <v>Empty section</v>
      </c>
      <c r="F44" s="140"/>
      <c r="G44" s="143" t="s">
        <v>114</v>
      </c>
      <c r="H44" s="144" t="e">
        <f aca="false">SUM(J40:J43)/
(
COUNT(H40:H43)*
'kryteria badany'!l$28
)</f>
        <v>#NAME?</v>
      </c>
      <c r="I44" s="145" t="e">
        <f aca="false">ifs(
ISERR(H44),
"",
ISNUMBER(H44),
H44&gt;=0.5
)</f>
        <v>#NAME?</v>
      </c>
      <c r="J44" s="146" t="str">
        <f aca="false">IFERROR(__xludf.dummyfunction("IFS(
OR(
EXACT(""Error - check cell values"",I40),
EXACT(""Error - check cell values"",I41),
EXACT(""Error - check cell values"",I42),
EXACT(""Error - check cell values"",I43),
),
""Error - check cell values"",
EXACT("""",I44),
""Empty section"",
NOT(I4"&amp;"4),
""Too few answers"",
I44,
AVERAGE.WEIGHTED(I40:I43,J40:J43)*100
)"),"Empty section")</f>
        <v>Empty section</v>
      </c>
      <c r="K44" s="147"/>
      <c r="L44" s="143" t="s">
        <v>114</v>
      </c>
      <c r="M44" s="144" t="e">
        <f aca="false">SUM(O40:O43)/
(
COUNT(M40:M43)*
'kryteria badany'!q$28
)</f>
        <v>#NAME?</v>
      </c>
      <c r="N44" s="145" t="e">
        <f aca="false">ifs(
ISERR(M44),
"",
ISNUMBER(M44),
M44&gt;=0.5
)</f>
        <v>#NAME?</v>
      </c>
      <c r="O44" s="146" t="str">
        <f aca="false">IFERROR(__xludf.dummyfunction("IFS(
OR(
EXACT(""Error - check cell values"",N40),
EXACT(""Error - check cell values"",N41),
EXACT(""Error - check cell values"",N42),
EXACT(""Error - check cell values"",N43),
),
""Error - check cell values"",
EXACT("""",N44),
""Empty section"",
NOT(N4"&amp;"4),
""Too few answers"",
N44,
AVERAGE.WEIGHTED(N40:N43,O40:O43)*100
)"),"Empty section")</f>
        <v>Empty section</v>
      </c>
      <c r="P44" s="147"/>
      <c r="Q44" s="143" t="s">
        <v>114</v>
      </c>
      <c r="R44" s="144" t="e">
        <f aca="false">SUM(T40:T43)/
(
COUNT(R40:R43)*
'kryteria badany'!v$28
)</f>
        <v>#NAME?</v>
      </c>
      <c r="S44" s="145" t="e">
        <f aca="false">ifs(
ISERR(R44),
"",
ISNUMBER(R44),
R44&gt;=0.5
)</f>
        <v>#NAME?</v>
      </c>
      <c r="T44" s="146" t="str">
        <f aca="false">IFERROR(__xludf.dummyfunction("IFS(
OR(
EXACT(""Error - check cell values"",S40),
EXACT(""Error - check cell values"",S41),
EXACT(""Error - check cell values"",S42),
EXACT(""Error - check cell values"",S43),
),
""Error - check cell values"",
EXACT("""",S44),
""Empty section"",
NOT(S4"&amp;"4),
""Too few answers"",
S44,
AVERAGE.WEIGHTED(S40:S43,T40:T43)*100
)"),"Empty section")</f>
        <v>Empty section</v>
      </c>
      <c r="U44" s="148"/>
      <c r="V44" s="142"/>
      <c r="X44" s="149"/>
      <c r="Y44" s="149"/>
      <c r="Z44" s="149"/>
    </row>
    <row r="45" customFormat="false" ht="15.75" hidden="false" customHeight="false" outlineLevel="0" collapsed="false">
      <c r="A45" s="150"/>
      <c r="B45" s="151"/>
      <c r="C45" s="151"/>
      <c r="D45" s="151"/>
      <c r="E45" s="151"/>
      <c r="F45" s="140"/>
      <c r="G45" s="151"/>
      <c r="H45" s="151"/>
      <c r="I45" s="151"/>
      <c r="J45" s="151"/>
      <c r="K45" s="140"/>
      <c r="L45" s="151"/>
      <c r="M45" s="151"/>
      <c r="N45" s="151"/>
      <c r="O45" s="151"/>
      <c r="P45" s="140"/>
      <c r="Q45" s="151"/>
      <c r="R45" s="151"/>
      <c r="S45" s="151"/>
      <c r="T45" s="151"/>
      <c r="U45" s="141"/>
      <c r="V45" s="142"/>
    </row>
    <row r="46" customFormat="false" ht="15.75" hidden="false" customHeight="true" outlineLevel="0" collapsed="false">
      <c r="A46" s="137" t="s">
        <v>289</v>
      </c>
      <c r="B46" s="117" t="s">
        <v>277</v>
      </c>
      <c r="C46" s="138" t="e">
        <f aca="false">'kryteria badany'!d$39</f>
        <v>#NAME?</v>
      </c>
      <c r="D46" s="138" t="n">
        <f aca="false">IFERROR(C46,0)</f>
        <v>0</v>
      </c>
      <c r="E46" s="139" t="e">
        <f aca="false">'kryteria badany'!f$39</f>
        <v>#NAME?</v>
      </c>
      <c r="F46" s="140"/>
      <c r="G46" s="117" t="s">
        <v>277</v>
      </c>
      <c r="H46" s="138" t="e">
        <f aca="false">'kryteria badany'!i$39</f>
        <v>#NAME?</v>
      </c>
      <c r="I46" s="138" t="n">
        <f aca="false">IFERROR(H46,0)</f>
        <v>0</v>
      </c>
      <c r="J46" s="139" t="e">
        <f aca="false">'kryteria badany'!k$39</f>
        <v>#NAME?</v>
      </c>
      <c r="K46" s="140"/>
      <c r="L46" s="117" t="s">
        <v>277</v>
      </c>
      <c r="M46" s="138" t="e">
        <f aca="false">'kryteria badany'!n$39</f>
        <v>#NAME?</v>
      </c>
      <c r="N46" s="138" t="n">
        <f aca="false">IFERROR(M46,0)</f>
        <v>0</v>
      </c>
      <c r="O46" s="139" t="e">
        <f aca="false">'kryteria badany'!p$39</f>
        <v>#NAME?</v>
      </c>
      <c r="P46" s="140"/>
      <c r="Q46" s="117" t="s">
        <v>277</v>
      </c>
      <c r="R46" s="138" t="e">
        <f aca="false">'kryteria badany'!s$39</f>
        <v>#NAME?</v>
      </c>
      <c r="S46" s="138" t="n">
        <f aca="false">IFERROR(R46,0)</f>
        <v>0</v>
      </c>
      <c r="T46" s="139" t="e">
        <f aca="false">'kryteria badany'!u$39</f>
        <v>#NAME?</v>
      </c>
      <c r="U46" s="141"/>
      <c r="V46" s="142"/>
    </row>
    <row r="47" customFormat="false" ht="15.75" hidden="false" customHeight="false" outlineLevel="0" collapsed="false">
      <c r="A47" s="137"/>
      <c r="B47" s="117" t="s">
        <v>278</v>
      </c>
      <c r="C47" s="138" t="e">
        <f aca="false">'kryteria lider'!d$39</f>
        <v>#NAME?</v>
      </c>
      <c r="D47" s="138" t="n">
        <f aca="false">IFERROR(C47,0)</f>
        <v>0</v>
      </c>
      <c r="E47" s="139" t="e">
        <f aca="false">'kryteria lider'!f$39</f>
        <v>#NAME?</v>
      </c>
      <c r="F47" s="140"/>
      <c r="G47" s="117" t="s">
        <v>278</v>
      </c>
      <c r="H47" s="138" t="e">
        <f aca="false">'kryteria lider'!i$39</f>
        <v>#NAME?</v>
      </c>
      <c r="I47" s="138" t="n">
        <f aca="false">IFERROR(H47,0)</f>
        <v>0</v>
      </c>
      <c r="J47" s="139" t="e">
        <f aca="false">'kryteria lider'!k$39</f>
        <v>#NAME?</v>
      </c>
      <c r="K47" s="140"/>
      <c r="L47" s="117" t="s">
        <v>278</v>
      </c>
      <c r="M47" s="138" t="e">
        <f aca="false">'kryteria lider'!n$39</f>
        <v>#NAME?</v>
      </c>
      <c r="N47" s="138" t="n">
        <f aca="false">IFERROR(M47,0)</f>
        <v>0</v>
      </c>
      <c r="O47" s="139" t="e">
        <f aca="false">'kryteria lider'!p$39</f>
        <v>#NAME?</v>
      </c>
      <c r="P47" s="140"/>
      <c r="Q47" s="117" t="s">
        <v>278</v>
      </c>
      <c r="R47" s="138" t="e">
        <f aca="false">'kryteria lider'!s$39</f>
        <v>#NAME?</v>
      </c>
      <c r="S47" s="138" t="n">
        <f aca="false">IFERROR(R47,0)</f>
        <v>0</v>
      </c>
      <c r="T47" s="139" t="e">
        <f aca="false">'kryteria lider'!u$39</f>
        <v>#NAME?</v>
      </c>
      <c r="U47" s="141"/>
      <c r="V47" s="142"/>
    </row>
    <row r="48" customFormat="false" ht="15.75" hidden="false" customHeight="false" outlineLevel="0" collapsed="false">
      <c r="A48" s="137"/>
      <c r="B48" s="117" t="s">
        <v>279</v>
      </c>
      <c r="C48" s="138" t="e">
        <f aca="false">'kryteria hr'!d$39</f>
        <v>#NAME?</v>
      </c>
      <c r="D48" s="138" t="n">
        <f aca="false">IFERROR(C48,0)</f>
        <v>0</v>
      </c>
      <c r="E48" s="139" t="e">
        <f aca="false">'kryteria hr'!f$39</f>
        <v>#NAME?</v>
      </c>
      <c r="F48" s="140"/>
      <c r="G48" s="117" t="s">
        <v>279</v>
      </c>
      <c r="H48" s="138" t="e">
        <f aca="false">'kryteria hr'!i$39</f>
        <v>#NAME?</v>
      </c>
      <c r="I48" s="138" t="n">
        <f aca="false">IFERROR(H48,0)</f>
        <v>0</v>
      </c>
      <c r="J48" s="139" t="e">
        <f aca="false">'kryteria hr'!k$39</f>
        <v>#NAME?</v>
      </c>
      <c r="K48" s="140"/>
      <c r="L48" s="117" t="s">
        <v>279</v>
      </c>
      <c r="M48" s="138" t="e">
        <f aca="false">'kryteria hr'!n$39</f>
        <v>#NAME?</v>
      </c>
      <c r="N48" s="138" t="n">
        <f aca="false">IFERROR(M48,0)</f>
        <v>0</v>
      </c>
      <c r="O48" s="139" t="e">
        <f aca="false">'kryteria hr'!p$39</f>
        <v>#NAME?</v>
      </c>
      <c r="P48" s="140"/>
      <c r="Q48" s="117" t="s">
        <v>279</v>
      </c>
      <c r="R48" s="138" t="e">
        <f aca="false">'kryteria hr'!s$39</f>
        <v>#NAME?</v>
      </c>
      <c r="S48" s="138" t="n">
        <f aca="false">IFERROR(R48,0)</f>
        <v>0</v>
      </c>
      <c r="T48" s="139" t="e">
        <f aca="false">'kryteria hr'!u$39</f>
        <v>#NAME?</v>
      </c>
      <c r="U48" s="141"/>
      <c r="V48" s="142"/>
    </row>
    <row r="49" customFormat="false" ht="15.75" hidden="false" customHeight="false" outlineLevel="0" collapsed="false">
      <c r="A49" s="137"/>
      <c r="B49" s="117" t="s">
        <v>280</v>
      </c>
      <c r="C49" s="138" t="e">
        <f aca="false">'kryteria overseer'!d$39</f>
        <v>#NAME?</v>
      </c>
      <c r="D49" s="138" t="n">
        <f aca="false">IFERROR(C49,0)</f>
        <v>0</v>
      </c>
      <c r="E49" s="139" t="e">
        <f aca="false">'kryteria overseer'!f$39</f>
        <v>#NAME?</v>
      </c>
      <c r="F49" s="140"/>
      <c r="G49" s="117" t="s">
        <v>280</v>
      </c>
      <c r="H49" s="138" t="e">
        <f aca="false">'kryteria overseer'!i$39</f>
        <v>#NAME?</v>
      </c>
      <c r="I49" s="138" t="n">
        <f aca="false">IFERROR(H49,0)</f>
        <v>0</v>
      </c>
      <c r="J49" s="139" t="e">
        <f aca="false">'kryteria overseer'!k$39</f>
        <v>#NAME?</v>
      </c>
      <c r="K49" s="140"/>
      <c r="L49" s="117" t="s">
        <v>280</v>
      </c>
      <c r="M49" s="138" t="e">
        <f aca="false">'kryteria overseer'!n$39</f>
        <v>#NAME?</v>
      </c>
      <c r="N49" s="138" t="n">
        <f aca="false">IFERROR(M49,0)</f>
        <v>0</v>
      </c>
      <c r="O49" s="139" t="e">
        <f aca="false">'kryteria overseer'!p$39</f>
        <v>#NAME?</v>
      </c>
      <c r="P49" s="140"/>
      <c r="Q49" s="117" t="s">
        <v>280</v>
      </c>
      <c r="R49" s="138" t="e">
        <f aca="false">'kryteria overseer'!s$39</f>
        <v>#NAME?</v>
      </c>
      <c r="S49" s="138" t="n">
        <f aca="false">IFERROR(R49,0)</f>
        <v>0</v>
      </c>
      <c r="T49" s="139" t="e">
        <f aca="false">'kryteria overseer'!u$39</f>
        <v>#NAME?</v>
      </c>
      <c r="U49" s="141"/>
      <c r="V49" s="142"/>
    </row>
    <row r="50" customFormat="false" ht="33.9" hidden="false" customHeight="true" outlineLevel="0" collapsed="false">
      <c r="A50" s="137"/>
      <c r="B50" s="143" t="s">
        <v>124</v>
      </c>
      <c r="C50" s="144" t="e">
        <f aca="false">SUM(E46:E49)/
(
COUNT(C46:C49)*
'kryteria badany'!g$39
)</f>
        <v>#NAME?</v>
      </c>
      <c r="D50" s="145" t="e">
        <f aca="false">ifs(
ISERR(C50),
"",
ISNUMBER(C50),
C50&gt;=0.5
)</f>
        <v>#NAME?</v>
      </c>
      <c r="E50" s="146" t="str">
        <f aca="false">IFERROR(__xludf.dummyfunction("IFS(
OR(
EXACT(""Error - check cell values"",D46),
EXACT(""Error - check cell values"",D47),
EXACT(""Error - check cell values"",D48),
EXACT(""Error - check cell values"",D49),
),
""Error - check cell values"",
EXACT("""",D50),
""Empty section"",
NOT(D5"&amp;"0),
""Too few answers"",
D50,
AVERAGE.WEIGHTED(D46:D49,E46:E49)*100
)"),"Empty section")</f>
        <v>Empty section</v>
      </c>
      <c r="F50" s="140"/>
      <c r="G50" s="143" t="s">
        <v>124</v>
      </c>
      <c r="H50" s="144" t="e">
        <f aca="false">SUM(J46:J49)/
(
COUNT(H46:H49)*
'kryteria badany'!l$39
)</f>
        <v>#NAME?</v>
      </c>
      <c r="I50" s="145" t="e">
        <f aca="false">ifs(
ISERR(H50),
"",
ISNUMBER(H50),
H50&gt;=0.5
)</f>
        <v>#NAME?</v>
      </c>
      <c r="J50" s="146" t="str">
        <f aca="false">IFERROR(__xludf.dummyfunction("IFS(
OR(
EXACT(""Error - check cell values"",I46),
EXACT(""Error - check cell values"",I47),
EXACT(""Error - check cell values"",I48),
EXACT(""Error - check cell values"",I49),
),
""Error - check cell values"",
EXACT("""",I50),
""Empty section"",
NOT(I5"&amp;"0),
""Too few answers"",
I50,
AVERAGE.WEIGHTED(I46:I49,J46:J49)*100
)"),"Empty section")</f>
        <v>Empty section</v>
      </c>
      <c r="K50" s="147"/>
      <c r="L50" s="143" t="s">
        <v>124</v>
      </c>
      <c r="M50" s="144" t="e">
        <f aca="false">SUM(O46:O49)/
(
COUNT(M46:M49)*
'kryteria badany'!q$39
)</f>
        <v>#NAME?</v>
      </c>
      <c r="N50" s="145" t="e">
        <f aca="false">ifs(
ISERR(M50),
"",
ISNUMBER(M50),
M50&gt;=0.5
)</f>
        <v>#NAME?</v>
      </c>
      <c r="O50" s="146" t="str">
        <f aca="false">IFERROR(__xludf.dummyfunction("IFS(
OR(
EXACT(""Error - check cell values"",N46),
EXACT(""Error - check cell values"",N47),
EXACT(""Error - check cell values"",N48),
EXACT(""Error - check cell values"",N49),
),
""Error - check cell values"",
EXACT("""",N50),
""Empty section"",
NOT(N5"&amp;"0),
""Too few answers"",
N50,
AVERAGE.WEIGHTED(N46:N49,O46:O49)*100
)"),"Empty section")</f>
        <v>Empty section</v>
      </c>
      <c r="P50" s="147"/>
      <c r="Q50" s="143" t="s">
        <v>124</v>
      </c>
      <c r="R50" s="144" t="e">
        <f aca="false">SUM(T46:T49)/
(
COUNT(R46:R49)*
'kryteria badany'!v$39
)</f>
        <v>#NAME?</v>
      </c>
      <c r="S50" s="145" t="e">
        <f aca="false">ifs(
ISERR(R50),
"",
ISNUMBER(R50),
R50&gt;=0.5
)</f>
        <v>#NAME?</v>
      </c>
      <c r="T50" s="146" t="str">
        <f aca="false">IFERROR(__xludf.dummyfunction("IFS(
OR(
EXACT(""Error - check cell values"",S46),
EXACT(""Error - check cell values"",S47),
EXACT(""Error - check cell values"",S48),
EXACT(""Error - check cell values"",S49),
),
""Error - check cell values"",
EXACT("""",S50),
""Empty section"",
NOT(S5"&amp;"0),
""Too few answers"",
S50,
AVERAGE.WEIGHTED(S46:S49,T46:T49)*100
)"),"Empty section")</f>
        <v>Empty section</v>
      </c>
      <c r="U50" s="148"/>
      <c r="V50" s="142"/>
      <c r="X50" s="149"/>
      <c r="Y50" s="149"/>
      <c r="Z50" s="149"/>
    </row>
    <row r="51" customFormat="false" ht="15.75" hidden="false" customHeight="false" outlineLevel="0" collapsed="false">
      <c r="A51" s="150"/>
      <c r="B51" s="151"/>
      <c r="C51" s="151"/>
      <c r="D51" s="151"/>
      <c r="E51" s="151"/>
      <c r="F51" s="140"/>
      <c r="G51" s="151"/>
      <c r="H51" s="151"/>
      <c r="I51" s="151"/>
      <c r="J51" s="151"/>
      <c r="K51" s="140"/>
      <c r="L51" s="151"/>
      <c r="M51" s="151"/>
      <c r="N51" s="151"/>
      <c r="O51" s="151"/>
      <c r="P51" s="140"/>
      <c r="Q51" s="151"/>
      <c r="R51" s="151"/>
      <c r="S51" s="151"/>
      <c r="T51" s="151"/>
      <c r="U51" s="141"/>
      <c r="V51" s="142"/>
    </row>
    <row r="52" customFormat="false" ht="15.75" hidden="false" customHeight="true" outlineLevel="0" collapsed="false">
      <c r="A52" s="137" t="s">
        <v>152</v>
      </c>
      <c r="B52" s="117" t="s">
        <v>277</v>
      </c>
      <c r="C52" s="138" t="e">
        <f aca="false">'kryteria badany'!d$47</f>
        <v>#NAME?</v>
      </c>
      <c r="D52" s="138" t="n">
        <f aca="false">IFERROR(C52,0)</f>
        <v>0</v>
      </c>
      <c r="E52" s="139" t="e">
        <f aca="false">'kryteria badany'!f$47</f>
        <v>#NAME?</v>
      </c>
      <c r="F52" s="140"/>
      <c r="G52" s="117" t="s">
        <v>277</v>
      </c>
      <c r="H52" s="138" t="e">
        <f aca="false">'kryteria badany'!i$47</f>
        <v>#NAME?</v>
      </c>
      <c r="I52" s="138" t="n">
        <f aca="false">IFERROR(H52,0)</f>
        <v>0</v>
      </c>
      <c r="J52" s="139" t="e">
        <f aca="false">'kryteria badany'!k$47</f>
        <v>#NAME?</v>
      </c>
      <c r="K52" s="140"/>
      <c r="L52" s="117" t="s">
        <v>277</v>
      </c>
      <c r="M52" s="138" t="e">
        <f aca="false">'kryteria badany'!n$47</f>
        <v>#NAME?</v>
      </c>
      <c r="N52" s="138" t="n">
        <f aca="false">IFERROR(M52,0)</f>
        <v>0</v>
      </c>
      <c r="O52" s="139" t="e">
        <f aca="false">'kryteria badany'!p$47</f>
        <v>#NAME?</v>
      </c>
      <c r="P52" s="140"/>
      <c r="Q52" s="117" t="s">
        <v>277</v>
      </c>
      <c r="R52" s="138" t="e">
        <f aca="false">'kryteria badany'!s$47</f>
        <v>#NAME?</v>
      </c>
      <c r="S52" s="138" t="n">
        <f aca="false">IFERROR(R52,0)</f>
        <v>0</v>
      </c>
      <c r="T52" s="139" t="e">
        <f aca="false">'kryteria badany'!u$47</f>
        <v>#NAME?</v>
      </c>
      <c r="U52" s="141"/>
      <c r="V52" s="142"/>
    </row>
    <row r="53" customFormat="false" ht="15.75" hidden="false" customHeight="false" outlineLevel="0" collapsed="false">
      <c r="A53" s="137"/>
      <c r="B53" s="117" t="s">
        <v>278</v>
      </c>
      <c r="C53" s="138" t="e">
        <f aca="false">'kryteria lider'!d$47</f>
        <v>#NAME?</v>
      </c>
      <c r="D53" s="138" t="n">
        <f aca="false">IFERROR(C53,0)</f>
        <v>0</v>
      </c>
      <c r="E53" s="139" t="e">
        <f aca="false">'kryteria lider'!f$47</f>
        <v>#NAME?</v>
      </c>
      <c r="F53" s="140"/>
      <c r="G53" s="117" t="s">
        <v>278</v>
      </c>
      <c r="H53" s="138" t="e">
        <f aca="false">'kryteria lider'!i$47</f>
        <v>#NAME?</v>
      </c>
      <c r="I53" s="138" t="n">
        <f aca="false">IFERROR(H53,0)</f>
        <v>0</v>
      </c>
      <c r="J53" s="139" t="e">
        <f aca="false">'kryteria lider'!k$47</f>
        <v>#NAME?</v>
      </c>
      <c r="K53" s="140"/>
      <c r="L53" s="117" t="s">
        <v>278</v>
      </c>
      <c r="M53" s="138" t="e">
        <f aca="false">'kryteria lider'!n$47</f>
        <v>#NAME?</v>
      </c>
      <c r="N53" s="138" t="n">
        <f aca="false">IFERROR(M53,0)</f>
        <v>0</v>
      </c>
      <c r="O53" s="139" t="e">
        <f aca="false">'kryteria lider'!p$47</f>
        <v>#NAME?</v>
      </c>
      <c r="P53" s="140"/>
      <c r="Q53" s="117" t="s">
        <v>278</v>
      </c>
      <c r="R53" s="138" t="e">
        <f aca="false">'kryteria lider'!s$47</f>
        <v>#NAME?</v>
      </c>
      <c r="S53" s="138" t="n">
        <f aca="false">IFERROR(R53,0)</f>
        <v>0</v>
      </c>
      <c r="T53" s="139" t="e">
        <f aca="false">'kryteria lider'!u$47</f>
        <v>#NAME?</v>
      </c>
      <c r="U53" s="141"/>
      <c r="V53" s="142"/>
    </row>
    <row r="54" customFormat="false" ht="15.75" hidden="false" customHeight="false" outlineLevel="0" collapsed="false">
      <c r="A54" s="137"/>
      <c r="B54" s="117" t="s">
        <v>279</v>
      </c>
      <c r="C54" s="138" t="e">
        <f aca="false">'kryteria hr'!d$47</f>
        <v>#NAME?</v>
      </c>
      <c r="D54" s="138" t="n">
        <f aca="false">IFERROR(C54,0)</f>
        <v>0</v>
      </c>
      <c r="E54" s="139" t="e">
        <f aca="false">'kryteria hr'!f$47</f>
        <v>#NAME?</v>
      </c>
      <c r="F54" s="140"/>
      <c r="G54" s="117" t="s">
        <v>279</v>
      </c>
      <c r="H54" s="138" t="e">
        <f aca="false">'kryteria hr'!i$47</f>
        <v>#NAME?</v>
      </c>
      <c r="I54" s="138" t="n">
        <f aca="false">IFERROR(H54,0)</f>
        <v>0</v>
      </c>
      <c r="J54" s="139" t="e">
        <f aca="false">'kryteria hr'!k$47</f>
        <v>#NAME?</v>
      </c>
      <c r="K54" s="140"/>
      <c r="L54" s="117" t="s">
        <v>279</v>
      </c>
      <c r="M54" s="138" t="e">
        <f aca="false">'kryteria hr'!n$47</f>
        <v>#NAME?</v>
      </c>
      <c r="N54" s="138" t="n">
        <f aca="false">IFERROR(M54,0)</f>
        <v>0</v>
      </c>
      <c r="O54" s="139" t="e">
        <f aca="false">'kryteria hr'!p$47</f>
        <v>#NAME?</v>
      </c>
      <c r="P54" s="140"/>
      <c r="Q54" s="117" t="s">
        <v>279</v>
      </c>
      <c r="R54" s="138" t="e">
        <f aca="false">'kryteria hr'!s$47</f>
        <v>#NAME?</v>
      </c>
      <c r="S54" s="138" t="n">
        <f aca="false">IFERROR(R54,0)</f>
        <v>0</v>
      </c>
      <c r="T54" s="139" t="e">
        <f aca="false">'kryteria hr'!u$47</f>
        <v>#NAME?</v>
      </c>
      <c r="U54" s="141"/>
      <c r="V54" s="142"/>
    </row>
    <row r="55" customFormat="false" ht="15.75" hidden="false" customHeight="false" outlineLevel="0" collapsed="false">
      <c r="A55" s="137"/>
      <c r="B55" s="117" t="s">
        <v>280</v>
      </c>
      <c r="C55" s="138" t="e">
        <f aca="false">'kryteria overseer'!d$47</f>
        <v>#NAME?</v>
      </c>
      <c r="D55" s="138" t="n">
        <f aca="false">IFERROR(C55,0)</f>
        <v>0</v>
      </c>
      <c r="E55" s="139" t="e">
        <f aca="false">'kryteria overseer'!f$47</f>
        <v>#NAME?</v>
      </c>
      <c r="F55" s="140"/>
      <c r="G55" s="117" t="s">
        <v>280</v>
      </c>
      <c r="H55" s="138" t="e">
        <f aca="false">'kryteria overseer'!i$47</f>
        <v>#NAME?</v>
      </c>
      <c r="I55" s="138" t="n">
        <f aca="false">IFERROR(H55,0)</f>
        <v>0</v>
      </c>
      <c r="J55" s="139" t="e">
        <f aca="false">'kryteria overseer'!k$47</f>
        <v>#NAME?</v>
      </c>
      <c r="K55" s="140"/>
      <c r="L55" s="117" t="s">
        <v>280</v>
      </c>
      <c r="M55" s="138" t="e">
        <f aca="false">'kryteria overseer'!n$47</f>
        <v>#NAME?</v>
      </c>
      <c r="N55" s="138" t="n">
        <f aca="false">IFERROR(M55,0)</f>
        <v>0</v>
      </c>
      <c r="O55" s="139" t="e">
        <f aca="false">'kryteria overseer'!p$47</f>
        <v>#NAME?</v>
      </c>
      <c r="P55" s="140"/>
      <c r="Q55" s="117" t="s">
        <v>280</v>
      </c>
      <c r="R55" s="138" t="e">
        <f aca="false">'kryteria overseer'!s$47</f>
        <v>#NAME?</v>
      </c>
      <c r="S55" s="138" t="n">
        <f aca="false">IFERROR(R55,0)</f>
        <v>0</v>
      </c>
      <c r="T55" s="139" t="e">
        <f aca="false">'kryteria overseer'!u$47</f>
        <v>#NAME?</v>
      </c>
      <c r="U55" s="141"/>
      <c r="V55" s="142"/>
    </row>
    <row r="56" customFormat="false" ht="24.4" hidden="false" customHeight="false" outlineLevel="0" collapsed="false">
      <c r="A56" s="137"/>
      <c r="B56" s="143" t="s">
        <v>152</v>
      </c>
      <c r="C56" s="144" t="e">
        <f aca="false">SUM(E52:E55)/
(
COUNT(C52:C55)*
'kryteria badany'!g$47
)</f>
        <v>#NAME?</v>
      </c>
      <c r="D56" s="145" t="e">
        <f aca="false">ifs(
ISERR(C56),
"",
ISNUMBER(C56),
C56&gt;=0.5
)</f>
        <v>#NAME?</v>
      </c>
      <c r="E56" s="146" t="str">
        <f aca="false">IFERROR(__xludf.dummyfunction("IFS(
OR(
EXACT(""Error - check cell values"",D52),
EXACT(""Error - check cell values"",D53),
EXACT(""Error - check cell values"",D54),
EXACT(""Error - check cell values"",D55),
),
""Error - check cell values"",
EXACT("""",D56),
""Empty section"",
NOT(D5"&amp;"6),
""Too few answers"",
D56,
AVERAGE.WEIGHTED(D52:D55,E52:E55)*100
)"),"Empty section")</f>
        <v>Empty section</v>
      </c>
      <c r="F56" s="140"/>
      <c r="G56" s="143" t="s">
        <v>152</v>
      </c>
      <c r="H56" s="144" t="e">
        <f aca="false">SUM(J52:J55)/
(
COUNT(H52:H55)*
'kryteria badany'!l$47
)</f>
        <v>#NAME?</v>
      </c>
      <c r="I56" s="145" t="e">
        <f aca="false">ifs(
ISERR(H56),
"",
ISNUMBER(H56),
H56&gt;=0.5
)</f>
        <v>#NAME?</v>
      </c>
      <c r="J56" s="146" t="str">
        <f aca="false">IFERROR(__xludf.dummyfunction("IFS(
OR(
EXACT(""Error - check cell values"",I52),
EXACT(""Error - check cell values"",I53),
EXACT(""Error - check cell values"",I54),
EXACT(""Error - check cell values"",I55),
),
""Error - check cell values"",
EXACT("""",I56),
""Empty section"",
NOT(I5"&amp;"6),
""Too few answers"",
I56,
AVERAGE.WEIGHTED(I52:I55,J52:J55)*100
)"),"Empty section")</f>
        <v>Empty section</v>
      </c>
      <c r="K56" s="147"/>
      <c r="L56" s="143" t="s">
        <v>152</v>
      </c>
      <c r="M56" s="144" t="e">
        <f aca="false">SUM(O52:O55)/
(
COUNT(M52:M55)*
'kryteria badany'!q$47
)</f>
        <v>#NAME?</v>
      </c>
      <c r="N56" s="145" t="e">
        <f aca="false">ifs(
ISERR(M56),
"",
ISNUMBER(M56),
M56&gt;=0.5
)</f>
        <v>#NAME?</v>
      </c>
      <c r="O56" s="146" t="str">
        <f aca="false">IFERROR(__xludf.dummyfunction("IFS(
OR(
EXACT(""Error - check cell values"",N52),
EXACT(""Error - check cell values"",N53),
EXACT(""Error - check cell values"",N54),
EXACT(""Error - check cell values"",N55),
),
""Error - check cell values"",
EXACT("""",N56),
""Empty section"",
NOT(N5"&amp;"6),
""Too few answers"",
N56,
AVERAGE.WEIGHTED(N52:N55,O52:O55)*100
)"),"Empty section")</f>
        <v>Empty section</v>
      </c>
      <c r="P56" s="147"/>
      <c r="Q56" s="143" t="s">
        <v>152</v>
      </c>
      <c r="R56" s="144" t="e">
        <f aca="false">SUM(T52:T55)/
(
COUNT(R52:R55)*
'kryteria badany'!v$47
)</f>
        <v>#NAME?</v>
      </c>
      <c r="S56" s="145" t="e">
        <f aca="false">ifs(
ISERR(R56),
"",
ISNUMBER(R56),
R56&gt;=0.5
)</f>
        <v>#NAME?</v>
      </c>
      <c r="T56" s="146" t="str">
        <f aca="false">IFERROR(__xludf.dummyfunction("IFS(
OR(
EXACT(""Error - check cell values"",S52),
EXACT(""Error - check cell values"",S53),
EXACT(""Error - check cell values"",S54),
EXACT(""Error - check cell values"",S55),
),
""Error - check cell values"",
EXACT("""",S56),
""Empty section"",
NOT(S5"&amp;"6),
""Too few answers"",
S56,
AVERAGE.WEIGHTED(S52:S55,T52:T55)*100
)"),"Empty section")</f>
        <v>Empty section</v>
      </c>
      <c r="U56" s="148"/>
      <c r="V56" s="142"/>
      <c r="X56" s="149"/>
      <c r="Y56" s="149"/>
      <c r="Z56" s="149"/>
    </row>
    <row r="57" customFormat="false" ht="15.75" hidden="false" customHeight="false" outlineLevel="0" collapsed="false">
      <c r="A57" s="150"/>
      <c r="B57" s="151"/>
      <c r="C57" s="151"/>
      <c r="D57" s="151"/>
      <c r="E57" s="151"/>
      <c r="F57" s="140"/>
      <c r="G57" s="151"/>
      <c r="H57" s="151"/>
      <c r="I57" s="151"/>
      <c r="J57" s="151"/>
      <c r="K57" s="140"/>
      <c r="L57" s="151"/>
      <c r="M57" s="151"/>
      <c r="N57" s="151"/>
      <c r="O57" s="151"/>
      <c r="P57" s="140"/>
      <c r="Q57" s="151"/>
      <c r="R57" s="151"/>
      <c r="S57" s="151"/>
      <c r="T57" s="151"/>
      <c r="U57" s="141"/>
      <c r="V57" s="142"/>
    </row>
    <row r="58" customFormat="false" ht="15.75" hidden="false" customHeight="true" outlineLevel="0" collapsed="false">
      <c r="A58" s="137" t="s">
        <v>171</v>
      </c>
      <c r="B58" s="117" t="s">
        <v>277</v>
      </c>
      <c r="C58" s="138" t="e">
        <f aca="false">'kryteria badany'!d$58</f>
        <v>#NAME?</v>
      </c>
      <c r="D58" s="138" t="n">
        <f aca="false">IFERROR(C58,0)</f>
        <v>0</v>
      </c>
      <c r="E58" s="139" t="e">
        <f aca="false">'kryteria badany'!f$58</f>
        <v>#NAME?</v>
      </c>
      <c r="F58" s="140"/>
      <c r="G58" s="117" t="s">
        <v>277</v>
      </c>
      <c r="H58" s="138" t="e">
        <f aca="false">'kryteria badany'!i$58</f>
        <v>#NAME?</v>
      </c>
      <c r="I58" s="138" t="n">
        <f aca="false">IFERROR(H58,0)</f>
        <v>0</v>
      </c>
      <c r="J58" s="139" t="e">
        <f aca="false">'kryteria badany'!k$58</f>
        <v>#NAME?</v>
      </c>
      <c r="K58" s="140"/>
      <c r="L58" s="117" t="s">
        <v>277</v>
      </c>
      <c r="M58" s="138" t="e">
        <f aca="false">'kryteria badany'!n$58</f>
        <v>#NAME?</v>
      </c>
      <c r="N58" s="138" t="n">
        <f aca="false">IFERROR(M58,0)</f>
        <v>0</v>
      </c>
      <c r="O58" s="139" t="e">
        <f aca="false">'kryteria badany'!p$58</f>
        <v>#NAME?</v>
      </c>
      <c r="P58" s="140"/>
      <c r="Q58" s="117" t="s">
        <v>277</v>
      </c>
      <c r="R58" s="138" t="e">
        <f aca="false">'kryteria badany'!s$58</f>
        <v>#NAME?</v>
      </c>
      <c r="S58" s="138" t="n">
        <f aca="false">IFERROR(R58,0)</f>
        <v>0</v>
      </c>
      <c r="T58" s="139" t="e">
        <f aca="false">'kryteria badany'!u$58</f>
        <v>#NAME?</v>
      </c>
      <c r="U58" s="141"/>
      <c r="V58" s="142"/>
    </row>
    <row r="59" customFormat="false" ht="15.75" hidden="false" customHeight="false" outlineLevel="0" collapsed="false">
      <c r="A59" s="137"/>
      <c r="B59" s="117" t="s">
        <v>278</v>
      </c>
      <c r="C59" s="138" t="e">
        <f aca="false">'kryteria lider'!d$58</f>
        <v>#NAME?</v>
      </c>
      <c r="D59" s="138" t="n">
        <f aca="false">IFERROR(C59,0)</f>
        <v>0</v>
      </c>
      <c r="E59" s="139" t="e">
        <f aca="false">'kryteria lider'!f$58</f>
        <v>#NAME?</v>
      </c>
      <c r="F59" s="140"/>
      <c r="G59" s="117" t="s">
        <v>278</v>
      </c>
      <c r="H59" s="138" t="e">
        <f aca="false">'kryteria lider'!i$58</f>
        <v>#NAME?</v>
      </c>
      <c r="I59" s="138" t="n">
        <f aca="false">IFERROR(H59,0)</f>
        <v>0</v>
      </c>
      <c r="J59" s="139" t="e">
        <f aca="false">'kryteria lider'!k$58</f>
        <v>#NAME?</v>
      </c>
      <c r="K59" s="140"/>
      <c r="L59" s="117" t="s">
        <v>278</v>
      </c>
      <c r="M59" s="138" t="e">
        <f aca="false">'kryteria lider'!n$58</f>
        <v>#NAME?</v>
      </c>
      <c r="N59" s="138" t="n">
        <f aca="false">IFERROR(M59,0)</f>
        <v>0</v>
      </c>
      <c r="O59" s="139" t="e">
        <f aca="false">'kryteria lider'!p$58</f>
        <v>#NAME?</v>
      </c>
      <c r="P59" s="140"/>
      <c r="Q59" s="117" t="s">
        <v>278</v>
      </c>
      <c r="R59" s="138" t="e">
        <f aca="false">'kryteria lider'!s$58</f>
        <v>#NAME?</v>
      </c>
      <c r="S59" s="138" t="n">
        <f aca="false">IFERROR(R59,0)</f>
        <v>0</v>
      </c>
      <c r="T59" s="139" t="e">
        <f aca="false">'kryteria lider'!u$58</f>
        <v>#NAME?</v>
      </c>
      <c r="U59" s="141"/>
      <c r="V59" s="142"/>
    </row>
    <row r="60" customFormat="false" ht="15.75" hidden="false" customHeight="false" outlineLevel="0" collapsed="false">
      <c r="A60" s="137"/>
      <c r="B60" s="117" t="s">
        <v>279</v>
      </c>
      <c r="C60" s="138" t="e">
        <f aca="false">'kryteria hr'!d$58</f>
        <v>#NAME?</v>
      </c>
      <c r="D60" s="138" t="n">
        <f aca="false">IFERROR(C60,0)</f>
        <v>0</v>
      </c>
      <c r="E60" s="139" t="e">
        <f aca="false">'kryteria hr'!f$58</f>
        <v>#NAME?</v>
      </c>
      <c r="F60" s="140"/>
      <c r="G60" s="117" t="s">
        <v>279</v>
      </c>
      <c r="H60" s="138" t="e">
        <f aca="false">'kryteria hr'!i$58</f>
        <v>#NAME?</v>
      </c>
      <c r="I60" s="138" t="n">
        <f aca="false">IFERROR(H60,0)</f>
        <v>0</v>
      </c>
      <c r="J60" s="139" t="e">
        <f aca="false">'kryteria hr'!k$58</f>
        <v>#NAME?</v>
      </c>
      <c r="K60" s="140"/>
      <c r="L60" s="117" t="s">
        <v>279</v>
      </c>
      <c r="M60" s="138" t="e">
        <f aca="false">'kryteria hr'!n$58</f>
        <v>#NAME?</v>
      </c>
      <c r="N60" s="138" t="n">
        <f aca="false">IFERROR(M60,0)</f>
        <v>0</v>
      </c>
      <c r="O60" s="139" t="e">
        <f aca="false">'kryteria hr'!p$58</f>
        <v>#NAME?</v>
      </c>
      <c r="P60" s="140"/>
      <c r="Q60" s="117" t="s">
        <v>279</v>
      </c>
      <c r="R60" s="138" t="e">
        <f aca="false">'kryteria hr'!s$58</f>
        <v>#NAME?</v>
      </c>
      <c r="S60" s="138" t="n">
        <f aca="false">IFERROR(R60,0)</f>
        <v>0</v>
      </c>
      <c r="T60" s="139" t="e">
        <f aca="false">'kryteria hr'!u$58</f>
        <v>#NAME?</v>
      </c>
      <c r="U60" s="141"/>
      <c r="V60" s="142"/>
    </row>
    <row r="61" customFormat="false" ht="15.75" hidden="false" customHeight="false" outlineLevel="0" collapsed="false">
      <c r="A61" s="137"/>
      <c r="B61" s="117" t="s">
        <v>280</v>
      </c>
      <c r="C61" s="138" t="e">
        <f aca="false">'kryteria overseer'!d$58</f>
        <v>#NAME?</v>
      </c>
      <c r="D61" s="138" t="n">
        <f aca="false">IFERROR(C61,0)</f>
        <v>0</v>
      </c>
      <c r="E61" s="139" t="e">
        <f aca="false">'kryteria overseer'!f$58</f>
        <v>#NAME?</v>
      </c>
      <c r="F61" s="140"/>
      <c r="G61" s="117" t="s">
        <v>280</v>
      </c>
      <c r="H61" s="138" t="e">
        <f aca="false">'kryteria overseer'!i$58</f>
        <v>#NAME?</v>
      </c>
      <c r="I61" s="138" t="n">
        <f aca="false">IFERROR(H61,0)</f>
        <v>0</v>
      </c>
      <c r="J61" s="139" t="e">
        <f aca="false">'kryteria overseer'!k$58</f>
        <v>#NAME?</v>
      </c>
      <c r="K61" s="140"/>
      <c r="L61" s="117" t="s">
        <v>280</v>
      </c>
      <c r="M61" s="138" t="e">
        <f aca="false">'kryteria overseer'!n$58</f>
        <v>#NAME?</v>
      </c>
      <c r="N61" s="138" t="n">
        <f aca="false">IFERROR(M61,0)</f>
        <v>0</v>
      </c>
      <c r="O61" s="139" t="e">
        <f aca="false">'kryteria overseer'!p$58</f>
        <v>#NAME?</v>
      </c>
      <c r="P61" s="140"/>
      <c r="Q61" s="117" t="s">
        <v>280</v>
      </c>
      <c r="R61" s="138" t="e">
        <f aca="false">'kryteria overseer'!s$58</f>
        <v>#NAME?</v>
      </c>
      <c r="S61" s="138" t="n">
        <f aca="false">IFERROR(R61,0)</f>
        <v>0</v>
      </c>
      <c r="T61" s="139" t="e">
        <f aca="false">'kryteria overseer'!u$58</f>
        <v>#NAME?</v>
      </c>
      <c r="U61" s="141"/>
      <c r="V61" s="142"/>
    </row>
    <row r="62" customFormat="false" ht="24.4" hidden="false" customHeight="false" outlineLevel="0" collapsed="false">
      <c r="A62" s="137"/>
      <c r="B62" s="153" t="s">
        <v>171</v>
      </c>
      <c r="C62" s="144" t="e">
        <f aca="false">SUM(E58:E61)/
(
COUNT(C58:C61)*
'kryteria badany'!g$58
)</f>
        <v>#NAME?</v>
      </c>
      <c r="D62" s="145" t="e">
        <f aca="false">ifs(
ISERR(C62),
"",
ISNUMBER(C62),
C62&gt;=0.5
)</f>
        <v>#NAME?</v>
      </c>
      <c r="E62" s="146" t="str">
        <f aca="false">IFERROR(__xludf.dummyfunction("IFS(
OR(
EXACT(""Error - check cell values"",D58),
EXACT(""Error - check cell values"",D59),
EXACT(""Error - check cell values"",D60),
EXACT(""Error - check cell values"",D61),
),
""Error - check cell values"",
EXACT("""",D62),
""Empty section"",
NOT(D6"&amp;"2),
""Too few answers"",
D62,
AVERAGE.WEIGHTED(D58:D61,E58:E61)*100
)"),"Empty section")</f>
        <v>Empty section</v>
      </c>
      <c r="F62" s="140"/>
      <c r="G62" s="153" t="s">
        <v>171</v>
      </c>
      <c r="H62" s="144" t="e">
        <f aca="false">SUM(J58:J61)/
(
COUNT(H58:H61)*
'kryteria badany'!l$58
)</f>
        <v>#NAME?</v>
      </c>
      <c r="I62" s="145" t="e">
        <f aca="false">ifs(
ISERR(H62),
"",
ISNUMBER(H62),
H62&gt;=0.5
)</f>
        <v>#NAME?</v>
      </c>
      <c r="J62" s="146" t="str">
        <f aca="false">IFERROR(__xludf.dummyfunction("IFS(
OR(
EXACT(""Error - check cell values"",I58),
EXACT(""Error - check cell values"",I59),
EXACT(""Error - check cell values"",I60),
EXACT(""Error - check cell values"",I61),
),
""Error - check cell values"",
EXACT("""",I62),
""Empty section"",
NOT(I6"&amp;"2),
""Too few answers"",
I62,
AVERAGE.WEIGHTED(I58:I61,J58:J61)*100
)"),"Empty section")</f>
        <v>Empty section</v>
      </c>
      <c r="K62" s="147"/>
      <c r="L62" s="153" t="s">
        <v>171</v>
      </c>
      <c r="M62" s="144" t="e">
        <f aca="false">SUM(O58:O61)/
(
COUNT(M58:M61)*
'kryteria badany'!q$58
)</f>
        <v>#NAME?</v>
      </c>
      <c r="N62" s="145" t="e">
        <f aca="false">ifs(
ISERR(M62),
"",
ISNUMBER(M62),
M62&gt;=0.5
)</f>
        <v>#NAME?</v>
      </c>
      <c r="O62" s="146" t="str">
        <f aca="false">IFERROR(__xludf.dummyfunction("IFS(
OR(
EXACT(""Error - check cell values"",N58),
EXACT(""Error - check cell values"",N59),
EXACT(""Error - check cell values"",N60),
EXACT(""Error - check cell values"",N61),
),
""Error - check cell values"",
EXACT("""",N62),
""Empty section"",
NOT(N6"&amp;"2),
""Too few answers"",
N62,
AVERAGE.WEIGHTED(N58:N61,O58:O61)*100
)"),"Empty section")</f>
        <v>Empty section</v>
      </c>
      <c r="P62" s="147"/>
      <c r="Q62" s="153" t="s">
        <v>171</v>
      </c>
      <c r="R62" s="144" t="e">
        <f aca="false">SUM(T58:T61)/
(
COUNT(R58:R61)*
'kryteria badany'!v$58
)</f>
        <v>#NAME?</v>
      </c>
      <c r="S62" s="145" t="e">
        <f aca="false">ifs(
ISERR(R62),
"",
ISNUMBER(R62),
R62&gt;=0.5
)</f>
        <v>#NAME?</v>
      </c>
      <c r="T62" s="146" t="str">
        <f aca="false">IFERROR(__xludf.dummyfunction("IFS(
OR(
EXACT(""Error - check cell values"",S58),
EXACT(""Error - check cell values"",S59),
EXACT(""Error - check cell values"",S60),
EXACT(""Error - check cell values"",S61),
),
""Error - check cell values"",
EXACT("""",S62),
""Empty section"",
NOT(S6"&amp;"2),
""Too few answers"",
S62,
AVERAGE.WEIGHTED(S58:S61,T58:T61)*100
)"),"Empty section")</f>
        <v>Empty section</v>
      </c>
      <c r="U62" s="148"/>
      <c r="V62" s="142"/>
      <c r="X62" s="149"/>
      <c r="Y62" s="149"/>
      <c r="Z62" s="149"/>
    </row>
    <row r="63" customFormat="false" ht="15.75" hidden="false" customHeight="false" outlineLevel="0" collapsed="false">
      <c r="A63" s="150"/>
      <c r="B63" s="151"/>
      <c r="C63" s="151"/>
      <c r="D63" s="151"/>
      <c r="E63" s="151"/>
      <c r="F63" s="140"/>
      <c r="G63" s="151"/>
      <c r="H63" s="151"/>
      <c r="I63" s="151"/>
      <c r="J63" s="151"/>
      <c r="K63" s="140"/>
      <c r="L63" s="151"/>
      <c r="M63" s="151"/>
      <c r="N63" s="151"/>
      <c r="O63" s="151"/>
      <c r="P63" s="140"/>
      <c r="Q63" s="151"/>
      <c r="R63" s="151"/>
      <c r="S63" s="151"/>
      <c r="T63" s="151"/>
      <c r="U63" s="141"/>
      <c r="V63" s="142"/>
    </row>
    <row r="64" customFormat="false" ht="15.75" hidden="false" customHeight="true" outlineLevel="0" collapsed="false">
      <c r="A64" s="137" t="s">
        <v>194</v>
      </c>
      <c r="B64" s="117" t="s">
        <v>277</v>
      </c>
      <c r="C64" s="138" t="e">
        <f aca="false">'kryteria badany'!d$65</f>
        <v>#NAME?</v>
      </c>
      <c r="D64" s="138" t="n">
        <f aca="false">IFERROR(C64,0)</f>
        <v>0</v>
      </c>
      <c r="E64" s="139" t="e">
        <f aca="false">'kryteria badany'!f$65</f>
        <v>#NAME?</v>
      </c>
      <c r="F64" s="140"/>
      <c r="G64" s="117" t="s">
        <v>277</v>
      </c>
      <c r="H64" s="138" t="e">
        <f aca="false">'kryteria badany'!i$65</f>
        <v>#NAME?</v>
      </c>
      <c r="I64" s="138" t="n">
        <f aca="false">IFERROR(H64,0)</f>
        <v>0</v>
      </c>
      <c r="J64" s="139" t="e">
        <f aca="false">'kryteria badany'!k$65</f>
        <v>#NAME?</v>
      </c>
      <c r="K64" s="140"/>
      <c r="L64" s="117" t="s">
        <v>277</v>
      </c>
      <c r="M64" s="138" t="e">
        <f aca="false">'kryteria badany'!n$65</f>
        <v>#NAME?</v>
      </c>
      <c r="N64" s="138" t="n">
        <f aca="false">IFERROR(M64,0)</f>
        <v>0</v>
      </c>
      <c r="O64" s="139" t="e">
        <f aca="false">'kryteria badany'!p$65</f>
        <v>#NAME?</v>
      </c>
      <c r="P64" s="140"/>
      <c r="Q64" s="117" t="s">
        <v>277</v>
      </c>
      <c r="R64" s="138" t="e">
        <f aca="false">'kryteria badany'!s$65</f>
        <v>#NAME?</v>
      </c>
      <c r="S64" s="138" t="n">
        <f aca="false">IFERROR(R64,0)</f>
        <v>0</v>
      </c>
      <c r="T64" s="139" t="e">
        <f aca="false">'kryteria badany'!u$65</f>
        <v>#NAME?</v>
      </c>
      <c r="U64" s="141"/>
      <c r="V64" s="142"/>
    </row>
    <row r="65" customFormat="false" ht="15.75" hidden="false" customHeight="false" outlineLevel="0" collapsed="false">
      <c r="A65" s="137"/>
      <c r="B65" s="117" t="s">
        <v>278</v>
      </c>
      <c r="C65" s="138" t="e">
        <f aca="false">'kryteria lider'!d$65</f>
        <v>#NAME?</v>
      </c>
      <c r="D65" s="138" t="n">
        <f aca="false">IFERROR(C65,0)</f>
        <v>0</v>
      </c>
      <c r="E65" s="139" t="e">
        <f aca="false">'kryteria lider'!f$65</f>
        <v>#NAME?</v>
      </c>
      <c r="F65" s="140"/>
      <c r="G65" s="117" t="s">
        <v>278</v>
      </c>
      <c r="H65" s="138" t="e">
        <f aca="false">'kryteria lider'!i$65</f>
        <v>#NAME?</v>
      </c>
      <c r="I65" s="138" t="n">
        <f aca="false">IFERROR(H65,0)</f>
        <v>0</v>
      </c>
      <c r="J65" s="139" t="e">
        <f aca="false">'kryteria lider'!k$65</f>
        <v>#NAME?</v>
      </c>
      <c r="K65" s="140"/>
      <c r="L65" s="117" t="s">
        <v>278</v>
      </c>
      <c r="M65" s="138" t="e">
        <f aca="false">'kryteria lider'!n$65</f>
        <v>#NAME?</v>
      </c>
      <c r="N65" s="138" t="n">
        <f aca="false">IFERROR(M65,0)</f>
        <v>0</v>
      </c>
      <c r="O65" s="139" t="e">
        <f aca="false">'kryteria lider'!p$65</f>
        <v>#NAME?</v>
      </c>
      <c r="P65" s="140"/>
      <c r="Q65" s="117" t="s">
        <v>278</v>
      </c>
      <c r="R65" s="138" t="e">
        <f aca="false">'kryteria lider'!s$65</f>
        <v>#NAME?</v>
      </c>
      <c r="S65" s="138" t="n">
        <f aca="false">IFERROR(R65,0)</f>
        <v>0</v>
      </c>
      <c r="T65" s="139" t="e">
        <f aca="false">'kryteria lider'!u$65</f>
        <v>#NAME?</v>
      </c>
      <c r="U65" s="141"/>
      <c r="V65" s="142"/>
    </row>
    <row r="66" customFormat="false" ht="15.75" hidden="false" customHeight="false" outlineLevel="0" collapsed="false">
      <c r="A66" s="137"/>
      <c r="B66" s="117" t="s">
        <v>279</v>
      </c>
      <c r="C66" s="138" t="e">
        <f aca="false">'kryteria hr'!d$65</f>
        <v>#NAME?</v>
      </c>
      <c r="D66" s="138" t="n">
        <f aca="false">IFERROR(C66,0)</f>
        <v>0</v>
      </c>
      <c r="E66" s="139" t="e">
        <f aca="false">'kryteria hr'!f$65</f>
        <v>#NAME?</v>
      </c>
      <c r="F66" s="140"/>
      <c r="G66" s="117" t="s">
        <v>279</v>
      </c>
      <c r="H66" s="138" t="e">
        <f aca="false">'kryteria hr'!i$65</f>
        <v>#NAME?</v>
      </c>
      <c r="I66" s="138" t="n">
        <f aca="false">IFERROR(H66,0)</f>
        <v>0</v>
      </c>
      <c r="J66" s="139" t="e">
        <f aca="false">'kryteria hr'!k$65</f>
        <v>#NAME?</v>
      </c>
      <c r="K66" s="140"/>
      <c r="L66" s="117" t="s">
        <v>279</v>
      </c>
      <c r="M66" s="138" t="e">
        <f aca="false">'kryteria hr'!n$65</f>
        <v>#NAME?</v>
      </c>
      <c r="N66" s="138" t="n">
        <f aca="false">IFERROR(M66,0)</f>
        <v>0</v>
      </c>
      <c r="O66" s="139" t="e">
        <f aca="false">'kryteria hr'!p$65</f>
        <v>#NAME?</v>
      </c>
      <c r="P66" s="140"/>
      <c r="Q66" s="117" t="s">
        <v>279</v>
      </c>
      <c r="R66" s="138" t="e">
        <f aca="false">'kryteria hr'!s$65</f>
        <v>#NAME?</v>
      </c>
      <c r="S66" s="138" t="n">
        <f aca="false">IFERROR(R66,0)</f>
        <v>0</v>
      </c>
      <c r="T66" s="139" t="e">
        <f aca="false">'kryteria hr'!u$65</f>
        <v>#NAME?</v>
      </c>
      <c r="U66" s="141"/>
      <c r="V66" s="142"/>
    </row>
    <row r="67" customFormat="false" ht="15.75" hidden="false" customHeight="false" outlineLevel="0" collapsed="false">
      <c r="A67" s="137"/>
      <c r="B67" s="117" t="s">
        <v>280</v>
      </c>
      <c r="C67" s="138" t="e">
        <f aca="false">'kryteria overseer'!d$65</f>
        <v>#NAME?</v>
      </c>
      <c r="D67" s="138" t="n">
        <f aca="false">IFERROR(C67,0)</f>
        <v>0</v>
      </c>
      <c r="E67" s="139" t="e">
        <f aca="false">'kryteria overseer'!f$65</f>
        <v>#NAME?</v>
      </c>
      <c r="F67" s="140"/>
      <c r="G67" s="117" t="s">
        <v>280</v>
      </c>
      <c r="H67" s="138" t="e">
        <f aca="false">'kryteria overseer'!i$65</f>
        <v>#NAME?</v>
      </c>
      <c r="I67" s="138" t="n">
        <f aca="false">IFERROR(H67,0)</f>
        <v>0</v>
      </c>
      <c r="J67" s="139" t="e">
        <f aca="false">'kryteria overseer'!k$65</f>
        <v>#NAME?</v>
      </c>
      <c r="K67" s="140"/>
      <c r="L67" s="117" t="s">
        <v>280</v>
      </c>
      <c r="M67" s="138" t="e">
        <f aca="false">'kryteria overseer'!n$65</f>
        <v>#NAME?</v>
      </c>
      <c r="N67" s="138" t="n">
        <f aca="false">IFERROR(M67,0)</f>
        <v>0</v>
      </c>
      <c r="O67" s="139" t="e">
        <f aca="false">'kryteria overseer'!p$65</f>
        <v>#NAME?</v>
      </c>
      <c r="P67" s="140"/>
      <c r="Q67" s="117" t="s">
        <v>280</v>
      </c>
      <c r="R67" s="138" t="e">
        <f aca="false">'kryteria overseer'!s$65</f>
        <v>#NAME?</v>
      </c>
      <c r="S67" s="138" t="n">
        <f aca="false">IFERROR(R67,0)</f>
        <v>0</v>
      </c>
      <c r="T67" s="139" t="e">
        <f aca="false">'kryteria overseer'!u$65</f>
        <v>#NAME?</v>
      </c>
      <c r="U67" s="141"/>
      <c r="V67" s="142"/>
    </row>
    <row r="68" customFormat="false" ht="24.4" hidden="false" customHeight="false" outlineLevel="0" collapsed="false">
      <c r="A68" s="137"/>
      <c r="B68" s="143" t="s">
        <v>194</v>
      </c>
      <c r="C68" s="144" t="e">
        <f aca="false">SUM(E64:E67)/
(
COUNT(C64:C67)*
'kryteria badany'!g$65
)</f>
        <v>#NAME?</v>
      </c>
      <c r="D68" s="145" t="e">
        <f aca="false">ifs(
ISERR(C68),
"",
ISNUMBER(C68),
C68&gt;=0.5
)</f>
        <v>#NAME?</v>
      </c>
      <c r="E68" s="146" t="str">
        <f aca="false">IFERROR(__xludf.dummyfunction("IFS(
OR(
EXACT(""Error - check cell values"",D64),
EXACT(""Error - check cell values"",D65),
EXACT(""Error - check cell values"",D66),
EXACT(""Error - check cell values"",D67),
),
""Error - check cell values"",
EXACT("""",D68),
""Empty section"",
NOT(D6"&amp;"8),
""Too few answers"",
D68,
AVERAGE.WEIGHTED(D64:D67,E64:E67)*100
)"),"Empty section")</f>
        <v>Empty section</v>
      </c>
      <c r="F68" s="140"/>
      <c r="G68" s="143" t="s">
        <v>194</v>
      </c>
      <c r="H68" s="144" t="e">
        <f aca="false">SUM(J64:J67)/
(
COUNT(H64:H67)*
'kryteria badany'!l$65
)</f>
        <v>#NAME?</v>
      </c>
      <c r="I68" s="145" t="e">
        <f aca="false">ifs(
ISERR(H68),
"",
ISNUMBER(H68),
H68&gt;=0.5
)</f>
        <v>#NAME?</v>
      </c>
      <c r="J68" s="146" t="str">
        <f aca="false">IFERROR(__xludf.dummyfunction("IFS(
OR(
EXACT(""Error - check cell values"",I64),
EXACT(""Error - check cell values"",I65),
EXACT(""Error - check cell values"",I66),
EXACT(""Error - check cell values"",I67),
),
""Error - check cell values"",
EXACT("""",I68),
""Empty section"",
NOT(I6"&amp;"8),
""Too few answers"",
I68,
AVERAGE.WEIGHTED(I64:I67,J64:J67)*100
)"),"Empty section")</f>
        <v>Empty section</v>
      </c>
      <c r="K68" s="147"/>
      <c r="L68" s="143" t="s">
        <v>194</v>
      </c>
      <c r="M68" s="144" t="e">
        <f aca="false">SUM(O64:O67)/
(
COUNT(M64:M67)*
'kryteria badany'!q$65
)</f>
        <v>#NAME?</v>
      </c>
      <c r="N68" s="145" t="e">
        <f aca="false">ifs(
ISERR(M68),
"",
ISNUMBER(M68),
M68&gt;=0.5
)</f>
        <v>#NAME?</v>
      </c>
      <c r="O68" s="146" t="str">
        <f aca="false">IFERROR(__xludf.dummyfunction("IFS(
OR(
EXACT(""Error - check cell values"",N64),
EXACT(""Error - check cell values"",N65),
EXACT(""Error - check cell values"",N66),
EXACT(""Error - check cell values"",N67),
),
""Error - check cell values"",
EXACT("""",N68),
""Empty section"",
NOT(N6"&amp;"8),
""Too few answers"",
N68,
AVERAGE.WEIGHTED(N64:N67,O64:O67)*100
)"),"Empty section")</f>
        <v>Empty section</v>
      </c>
      <c r="P68" s="147"/>
      <c r="Q68" s="143" t="s">
        <v>194</v>
      </c>
      <c r="R68" s="144" t="e">
        <f aca="false">SUM(T64:T67)/
(
COUNT(R64:R67)*
'kryteria badany'!v$65
)</f>
        <v>#NAME?</v>
      </c>
      <c r="S68" s="145" t="e">
        <f aca="false">ifs(
ISERR(R68),
"",
ISNUMBER(R68),
R68&gt;=0.5
)</f>
        <v>#NAME?</v>
      </c>
      <c r="T68" s="146" t="str">
        <f aca="false">IFERROR(__xludf.dummyfunction("IFS(
OR(
EXACT(""Error - check cell values"",S64),
EXACT(""Error - check cell values"",S65),
EXACT(""Error - check cell values"",S66),
EXACT(""Error - check cell values"",S67),
),
""Error - check cell values"",
EXACT("""",S68),
""Empty section"",
NOT(S6"&amp;"8),
""Too few answers"",
S68,
AVERAGE.WEIGHTED(S64:S67,T64:T67)*100
)"),"Empty section")</f>
        <v>Empty section</v>
      </c>
      <c r="U68" s="148"/>
      <c r="V68" s="142"/>
      <c r="W68" s="149"/>
      <c r="X68" s="149"/>
      <c r="Y68" s="149"/>
      <c r="Z68" s="149"/>
    </row>
    <row r="69" customFormat="false" ht="24.75" hidden="false" customHeight="true" outlineLevel="0" collapsed="false">
      <c r="A69" s="150"/>
      <c r="B69" s="151"/>
      <c r="C69" s="151"/>
      <c r="D69" s="151"/>
      <c r="E69" s="151"/>
      <c r="F69" s="140"/>
      <c r="G69" s="151"/>
      <c r="H69" s="151"/>
      <c r="I69" s="151"/>
      <c r="J69" s="151"/>
      <c r="K69" s="140"/>
      <c r="L69" s="151"/>
      <c r="M69" s="151"/>
      <c r="N69" s="151"/>
      <c r="O69" s="151"/>
      <c r="P69" s="140"/>
      <c r="Q69" s="151"/>
      <c r="R69" s="151"/>
      <c r="S69" s="151"/>
      <c r="T69" s="151"/>
      <c r="U69" s="141"/>
    </row>
    <row r="70" customFormat="false" ht="15.75" hidden="false" customHeight="true" outlineLevel="0" collapsed="false">
      <c r="A70" s="137" t="s">
        <v>207</v>
      </c>
      <c r="B70" s="117" t="s">
        <v>277</v>
      </c>
      <c r="C70" s="138" t="e">
        <f aca="false">'kryteria badany'!d$71</f>
        <v>#NAME?</v>
      </c>
      <c r="D70" s="138" t="n">
        <f aca="false">IFERROR(C70,0)</f>
        <v>0</v>
      </c>
      <c r="E70" s="139" t="e">
        <f aca="false">'kryteria badany'!f$71</f>
        <v>#NAME?</v>
      </c>
      <c r="F70" s="140"/>
      <c r="G70" s="117" t="s">
        <v>277</v>
      </c>
      <c r="H70" s="138" t="e">
        <f aca="false">'kryteria badany'!i$71</f>
        <v>#NAME?</v>
      </c>
      <c r="I70" s="138" t="n">
        <f aca="false">IFERROR(H70,0)</f>
        <v>0</v>
      </c>
      <c r="J70" s="139" t="e">
        <f aca="false">'kryteria badany'!k$71</f>
        <v>#NAME?</v>
      </c>
      <c r="K70" s="140"/>
      <c r="L70" s="117" t="s">
        <v>277</v>
      </c>
      <c r="M70" s="138" t="e">
        <f aca="false">'kryteria badany'!n$71</f>
        <v>#NAME?</v>
      </c>
      <c r="N70" s="138" t="n">
        <f aca="false">IFERROR(M70,0)</f>
        <v>0</v>
      </c>
      <c r="O70" s="139" t="e">
        <f aca="false">'kryteria badany'!p$71</f>
        <v>#NAME?</v>
      </c>
      <c r="P70" s="140"/>
      <c r="Q70" s="117" t="s">
        <v>277</v>
      </c>
      <c r="R70" s="138" t="e">
        <f aca="false">'kryteria badany'!s$71</f>
        <v>#NAME?</v>
      </c>
      <c r="S70" s="138" t="n">
        <f aca="false">IFERROR(R70,0)</f>
        <v>0</v>
      </c>
      <c r="T70" s="139" t="e">
        <f aca="false">'kryteria badany'!u$71</f>
        <v>#NAME?</v>
      </c>
      <c r="U70" s="141"/>
    </row>
    <row r="71" customFormat="false" ht="15.75" hidden="false" customHeight="false" outlineLevel="0" collapsed="false">
      <c r="A71" s="137"/>
      <c r="B71" s="117" t="s">
        <v>278</v>
      </c>
      <c r="C71" s="138" t="e">
        <f aca="false">'kryteria lider'!d$71</f>
        <v>#NAME?</v>
      </c>
      <c r="D71" s="138" t="n">
        <f aca="false">IFERROR(C71,0)</f>
        <v>0</v>
      </c>
      <c r="E71" s="139" t="e">
        <f aca="false">'kryteria lider'!f$71</f>
        <v>#NAME?</v>
      </c>
      <c r="F71" s="140"/>
      <c r="G71" s="117" t="s">
        <v>278</v>
      </c>
      <c r="H71" s="138" t="e">
        <f aca="false">'kryteria lider'!i$71</f>
        <v>#NAME?</v>
      </c>
      <c r="I71" s="138" t="n">
        <f aca="false">IFERROR(H71,0)</f>
        <v>0</v>
      </c>
      <c r="J71" s="139" t="e">
        <f aca="false">'kryteria lider'!k$71</f>
        <v>#NAME?</v>
      </c>
      <c r="K71" s="140"/>
      <c r="L71" s="117" t="s">
        <v>278</v>
      </c>
      <c r="M71" s="138" t="e">
        <f aca="false">'kryteria lider'!n$71</f>
        <v>#NAME?</v>
      </c>
      <c r="N71" s="138" t="n">
        <f aca="false">IFERROR(M71,0)</f>
        <v>0</v>
      </c>
      <c r="O71" s="139" t="e">
        <f aca="false">'kryteria lider'!p$71</f>
        <v>#NAME?</v>
      </c>
      <c r="P71" s="140"/>
      <c r="Q71" s="117" t="s">
        <v>278</v>
      </c>
      <c r="R71" s="138" t="e">
        <f aca="false">'kryteria lider'!s$71</f>
        <v>#NAME?</v>
      </c>
      <c r="S71" s="138" t="n">
        <f aca="false">IFERROR(R71,0)</f>
        <v>0</v>
      </c>
      <c r="T71" s="139" t="e">
        <f aca="false">'kryteria lider'!u$71</f>
        <v>#NAME?</v>
      </c>
    </row>
    <row r="72" customFormat="false" ht="15.75" hidden="false" customHeight="false" outlineLevel="0" collapsed="false">
      <c r="A72" s="137"/>
      <c r="B72" s="117" t="s">
        <v>279</v>
      </c>
      <c r="C72" s="138" t="e">
        <f aca="false">'kryteria hr'!d$71</f>
        <v>#NAME?</v>
      </c>
      <c r="D72" s="138" t="n">
        <f aca="false">IFERROR(C72,0)</f>
        <v>0</v>
      </c>
      <c r="E72" s="139" t="e">
        <f aca="false">'kryteria hr'!f$71</f>
        <v>#NAME?</v>
      </c>
      <c r="F72" s="140"/>
      <c r="G72" s="117" t="s">
        <v>279</v>
      </c>
      <c r="H72" s="138" t="e">
        <f aca="false">'kryteria hr'!i$71</f>
        <v>#NAME?</v>
      </c>
      <c r="I72" s="138" t="n">
        <f aca="false">IFERROR(H72,0)</f>
        <v>0</v>
      </c>
      <c r="J72" s="139" t="e">
        <f aca="false">'kryteria hr'!k$71</f>
        <v>#NAME?</v>
      </c>
      <c r="K72" s="140"/>
      <c r="L72" s="117" t="s">
        <v>279</v>
      </c>
      <c r="M72" s="138" t="e">
        <f aca="false">'kryteria hr'!n$71</f>
        <v>#NAME?</v>
      </c>
      <c r="N72" s="138" t="n">
        <f aca="false">IFERROR(M72,0)</f>
        <v>0</v>
      </c>
      <c r="O72" s="139" t="e">
        <f aca="false">'kryteria hr'!p$71</f>
        <v>#NAME?</v>
      </c>
      <c r="P72" s="140"/>
      <c r="Q72" s="117" t="s">
        <v>279</v>
      </c>
      <c r="R72" s="138" t="e">
        <f aca="false">'kryteria hr'!s$71</f>
        <v>#NAME?</v>
      </c>
      <c r="S72" s="138" t="n">
        <f aca="false">IFERROR(R72,0)</f>
        <v>0</v>
      </c>
      <c r="T72" s="139" t="e">
        <f aca="false">'kryteria hr'!u$71</f>
        <v>#NAME?</v>
      </c>
    </row>
    <row r="73" customFormat="false" ht="15.75" hidden="false" customHeight="false" outlineLevel="0" collapsed="false">
      <c r="A73" s="137"/>
      <c r="B73" s="117" t="s">
        <v>280</v>
      </c>
      <c r="C73" s="138" t="e">
        <f aca="false">'kryteria overseer'!d$71</f>
        <v>#NAME?</v>
      </c>
      <c r="D73" s="138" t="n">
        <f aca="false">IFERROR(C73,0)</f>
        <v>0</v>
      </c>
      <c r="E73" s="139" t="e">
        <f aca="false">'kryteria overseer'!f$71</f>
        <v>#NAME?</v>
      </c>
      <c r="F73" s="140"/>
      <c r="G73" s="117" t="s">
        <v>280</v>
      </c>
      <c r="H73" s="138" t="e">
        <f aca="false">'kryteria overseer'!i$71</f>
        <v>#NAME?</v>
      </c>
      <c r="I73" s="138" t="n">
        <f aca="false">IFERROR(H73,0)</f>
        <v>0</v>
      </c>
      <c r="J73" s="139" t="e">
        <f aca="false">'kryteria overseer'!k$71</f>
        <v>#NAME?</v>
      </c>
      <c r="K73" s="140"/>
      <c r="L73" s="117" t="s">
        <v>280</v>
      </c>
      <c r="M73" s="138" t="e">
        <f aca="false">'kryteria overseer'!n$71</f>
        <v>#NAME?</v>
      </c>
      <c r="N73" s="138" t="n">
        <f aca="false">IFERROR(M73,0)</f>
        <v>0</v>
      </c>
      <c r="O73" s="139" t="e">
        <f aca="false">'kryteria overseer'!p$71</f>
        <v>#NAME?</v>
      </c>
      <c r="P73" s="140"/>
      <c r="Q73" s="117" t="s">
        <v>280</v>
      </c>
      <c r="R73" s="138" t="e">
        <f aca="false">'kryteria overseer'!s$71</f>
        <v>#NAME?</v>
      </c>
      <c r="S73" s="138" t="n">
        <f aca="false">IFERROR(R73,0)</f>
        <v>0</v>
      </c>
      <c r="T73" s="139" t="e">
        <f aca="false">'kryteria overseer'!u$71</f>
        <v>#NAME?</v>
      </c>
    </row>
    <row r="74" customFormat="false" ht="24.4" hidden="false" customHeight="false" outlineLevel="0" collapsed="false">
      <c r="A74" s="137"/>
      <c r="B74" s="153" t="s">
        <v>207</v>
      </c>
      <c r="C74" s="144" t="e">
        <f aca="false">SUM(E70:E73)/
(
COUNT(C70:C73)*
'kryteria badany'!g$71
)</f>
        <v>#NAME?</v>
      </c>
      <c r="D74" s="145" t="e">
        <f aca="false">ifs(
ISERR(C74),
"",
ISNUMBER(C74),
C74&gt;=0.5
)</f>
        <v>#NAME?</v>
      </c>
      <c r="E74" s="146" t="str">
        <f aca="false">IFERROR(__xludf.dummyfunction("IFS(
OR(
EXACT(""Error - check cell values"",D70),
EXACT(""Error - check cell values"",D71),
EXACT(""Error - check cell values"",D72),
EXACT(""Error - check cell values"",D73),
),
""Error - check cell values"",
EXACT("""",D74),
""Empty section"",
NOT(D7"&amp;"4),
""Too few answers"",
D74,
AVERAGE.WEIGHTED(D70:D73,E70:E73)*100
)"),"Empty section")</f>
        <v>Empty section</v>
      </c>
      <c r="F74" s="140"/>
      <c r="G74" s="153" t="s">
        <v>207</v>
      </c>
      <c r="H74" s="144" t="e">
        <f aca="false">SUM(J70:J73)/
(
COUNT(H70:H73)*
'kryteria badany'!l$71
)</f>
        <v>#NAME?</v>
      </c>
      <c r="I74" s="145" t="e">
        <f aca="false">ifs(
ISERR(H74),
"",
ISNUMBER(H74),
H74&gt;=0.5
)</f>
        <v>#NAME?</v>
      </c>
      <c r="J74" s="146" t="str">
        <f aca="false">IFERROR(__xludf.dummyfunction("IFS(
OR(
EXACT(""Error - check cell values"",I70),
EXACT(""Error - check cell values"",I71),
EXACT(""Error - check cell values"",I72),
EXACT(""Error - check cell values"",I73),
),
""Error - check cell values"",
EXACT("""",I74),
""Empty section"",
NOT(I7"&amp;"4),
""Too few answers"",
I74,
AVERAGE.WEIGHTED(I70:I73,J70:J73)*100
)"),"Empty section")</f>
        <v>Empty section</v>
      </c>
      <c r="K74" s="147"/>
      <c r="L74" s="153" t="s">
        <v>207</v>
      </c>
      <c r="M74" s="144" t="e">
        <f aca="false">SUM(O70:O73)/
(
COUNT(M70:M73)*
'kryteria badany'!q$71
)</f>
        <v>#NAME?</v>
      </c>
      <c r="N74" s="145" t="e">
        <f aca="false">ifs(
ISERR(M74),
"",
ISNUMBER(M74),
M74&gt;=0.5
)</f>
        <v>#NAME?</v>
      </c>
      <c r="O74" s="146" t="str">
        <f aca="false">IFERROR(__xludf.dummyfunction("IFS(
OR(
EXACT(""Error - check cell values"",N70),
EXACT(""Error - check cell values"",N71),
EXACT(""Error - check cell values"",N72),
EXACT(""Error - check cell values"",N73),
),
""Error - check cell values"",
EXACT("""",N74),
""Empty section"",
NOT(N7"&amp;"4),
""Too few answers"",
N74,
AVERAGE.WEIGHTED(N70:N73,O70:O73)*100
)"),"Empty section")</f>
        <v>Empty section</v>
      </c>
      <c r="P74" s="147"/>
      <c r="Q74" s="153" t="s">
        <v>207</v>
      </c>
      <c r="R74" s="144" t="e">
        <f aca="false">SUM(T70:T73)/
(
COUNT(R70:R73)*
'kryteria badany'!v$71
)</f>
        <v>#NAME?</v>
      </c>
      <c r="S74" s="145" t="e">
        <f aca="false">ifs(
ISERR(R74),
"",
ISNUMBER(R74),
R74&gt;=0.5
)</f>
        <v>#NAME?</v>
      </c>
      <c r="T74" s="146" t="str">
        <f aca="false">IFERROR(__xludf.dummyfunction("IFS(
OR(
EXACT(""Error - check cell values"",S70),
EXACT(""Error - check cell values"",S71),
EXACT(""Error - check cell values"",S72),
EXACT(""Error - check cell values"",S73),
),
""Error - check cell values"",
EXACT("""",S74),
""Empty section"",
NOT(S7"&amp;"4),
""Too few answers"",
S74,
AVERAGE.WEIGHTED(S70:S73,T70:T73)*100
)"),"Empty section")</f>
        <v>Empty section</v>
      </c>
    </row>
    <row r="75" customFormat="false" ht="15.75" hidden="false" customHeight="false" outlineLevel="0" collapsed="false">
      <c r="A75" s="150"/>
      <c r="B75" s="151"/>
      <c r="C75" s="151"/>
      <c r="D75" s="151"/>
      <c r="E75" s="151"/>
      <c r="F75" s="140"/>
      <c r="G75" s="151"/>
      <c r="H75" s="151"/>
      <c r="I75" s="151"/>
      <c r="J75" s="151"/>
      <c r="K75" s="140"/>
      <c r="L75" s="151"/>
      <c r="M75" s="151"/>
      <c r="N75" s="151"/>
      <c r="O75" s="151"/>
      <c r="P75" s="140"/>
      <c r="Q75" s="151"/>
      <c r="R75" s="151"/>
      <c r="S75" s="151"/>
      <c r="T75" s="151"/>
    </row>
    <row r="76" customFormat="false" ht="15.75" hidden="false" customHeight="true" outlineLevel="0" collapsed="false">
      <c r="A76" s="137" t="s">
        <v>269</v>
      </c>
      <c r="B76" s="117" t="s">
        <v>277</v>
      </c>
      <c r="C76" s="138" t="e">
        <f aca="false">'kryteria badany'!d$86</f>
        <v>#NAME?</v>
      </c>
      <c r="D76" s="138" t="n">
        <f aca="false">IFERROR(C76,0)</f>
        <v>0</v>
      </c>
      <c r="E76" s="139" t="e">
        <f aca="false">'kryteria badany'!f$86</f>
        <v>#NAME?</v>
      </c>
      <c r="F76" s="140"/>
      <c r="G76" s="117" t="s">
        <v>277</v>
      </c>
      <c r="H76" s="138" t="e">
        <f aca="false">'kryteria badany'!i$86</f>
        <v>#NAME?</v>
      </c>
      <c r="I76" s="138" t="n">
        <f aca="false">IFERROR(H76,0)</f>
        <v>0</v>
      </c>
      <c r="J76" s="139" t="e">
        <f aca="false">'kryteria badany'!k$86</f>
        <v>#NAME?</v>
      </c>
      <c r="K76" s="140"/>
      <c r="L76" s="117" t="s">
        <v>277</v>
      </c>
      <c r="M76" s="138" t="e">
        <f aca="false">'kryteria badany'!n$86</f>
        <v>#NAME?</v>
      </c>
      <c r="N76" s="138" t="n">
        <f aca="false">IFERROR(M76,0)</f>
        <v>0</v>
      </c>
      <c r="O76" s="139" t="e">
        <f aca="false">'kryteria badany'!p$86</f>
        <v>#NAME?</v>
      </c>
      <c r="P76" s="140"/>
      <c r="Q76" s="117" t="s">
        <v>277</v>
      </c>
      <c r="R76" s="138" t="e">
        <f aca="false">'kryteria badany'!s$86</f>
        <v>#NAME?</v>
      </c>
      <c r="S76" s="138" t="n">
        <f aca="false">IFERROR(R76,0)</f>
        <v>0</v>
      </c>
      <c r="T76" s="139" t="e">
        <f aca="false">'kryteria badany'!u$86</f>
        <v>#NAME?</v>
      </c>
    </row>
    <row r="77" customFormat="false" ht="15.75" hidden="false" customHeight="false" outlineLevel="0" collapsed="false">
      <c r="A77" s="137"/>
      <c r="B77" s="117" t="s">
        <v>278</v>
      </c>
      <c r="C77" s="138" t="e">
        <f aca="false">'kryteria lider'!d$86</f>
        <v>#NAME?</v>
      </c>
      <c r="D77" s="138" t="n">
        <f aca="false">IFERROR(C77,0)</f>
        <v>0</v>
      </c>
      <c r="E77" s="139" t="e">
        <f aca="false">'kryteria lider'!f$86</f>
        <v>#NAME?</v>
      </c>
      <c r="F77" s="140"/>
      <c r="G77" s="117" t="s">
        <v>278</v>
      </c>
      <c r="H77" s="138" t="e">
        <f aca="false">'kryteria lider'!i$86</f>
        <v>#NAME?</v>
      </c>
      <c r="I77" s="138" t="n">
        <f aca="false">IFERROR(H77,0)</f>
        <v>0</v>
      </c>
      <c r="J77" s="139" t="e">
        <f aca="false">'kryteria lider'!k$86</f>
        <v>#NAME?</v>
      </c>
      <c r="K77" s="140"/>
      <c r="L77" s="117" t="s">
        <v>278</v>
      </c>
      <c r="M77" s="138" t="e">
        <f aca="false">'kryteria lider'!n$86</f>
        <v>#NAME?</v>
      </c>
      <c r="N77" s="138" t="n">
        <f aca="false">IFERROR(M77,0)</f>
        <v>0</v>
      </c>
      <c r="O77" s="139" t="e">
        <f aca="false">'kryteria lider'!p$86</f>
        <v>#NAME?</v>
      </c>
      <c r="P77" s="140"/>
      <c r="Q77" s="117" t="s">
        <v>278</v>
      </c>
      <c r="R77" s="138" t="e">
        <f aca="false">'kryteria lider'!s$86</f>
        <v>#NAME?</v>
      </c>
      <c r="S77" s="138" t="n">
        <f aca="false">IFERROR(R77,0)</f>
        <v>0</v>
      </c>
      <c r="T77" s="139" t="e">
        <f aca="false">'kryteria lider'!u$86</f>
        <v>#NAME?</v>
      </c>
    </row>
    <row r="78" customFormat="false" ht="15.75" hidden="false" customHeight="false" outlineLevel="0" collapsed="false">
      <c r="A78" s="137"/>
      <c r="B78" s="117" t="s">
        <v>279</v>
      </c>
      <c r="C78" s="138" t="e">
        <f aca="false">'kryteria hr'!d$86</f>
        <v>#NAME?</v>
      </c>
      <c r="D78" s="138" t="n">
        <f aca="false">IFERROR(C78,0)</f>
        <v>0</v>
      </c>
      <c r="E78" s="139" t="e">
        <f aca="false">'kryteria hr'!f$86</f>
        <v>#NAME?</v>
      </c>
      <c r="F78" s="140"/>
      <c r="G78" s="117" t="s">
        <v>279</v>
      </c>
      <c r="H78" s="138" t="e">
        <f aca="false">'kryteria hr'!i$86</f>
        <v>#NAME?</v>
      </c>
      <c r="I78" s="138" t="n">
        <f aca="false">IFERROR(H78,0)</f>
        <v>0</v>
      </c>
      <c r="J78" s="139" t="e">
        <f aca="false">'kryteria hr'!k$86</f>
        <v>#NAME?</v>
      </c>
      <c r="K78" s="140"/>
      <c r="L78" s="117" t="s">
        <v>279</v>
      </c>
      <c r="M78" s="138" t="e">
        <f aca="false">'kryteria hr'!n$86</f>
        <v>#NAME?</v>
      </c>
      <c r="N78" s="138" t="n">
        <f aca="false">IFERROR(M78,0)</f>
        <v>0</v>
      </c>
      <c r="O78" s="139" t="e">
        <f aca="false">'kryteria hr'!p$86</f>
        <v>#NAME?</v>
      </c>
      <c r="P78" s="140"/>
      <c r="Q78" s="117" t="s">
        <v>279</v>
      </c>
      <c r="R78" s="138" t="e">
        <f aca="false">'kryteria hr'!s$86</f>
        <v>#NAME?</v>
      </c>
      <c r="S78" s="138" t="n">
        <f aca="false">IFERROR(R78,0)</f>
        <v>0</v>
      </c>
      <c r="T78" s="139" t="e">
        <f aca="false">'kryteria hr'!u$86</f>
        <v>#NAME?</v>
      </c>
    </row>
    <row r="79" customFormat="false" ht="15.75" hidden="false" customHeight="false" outlineLevel="0" collapsed="false">
      <c r="A79" s="137"/>
      <c r="B79" s="117" t="s">
        <v>280</v>
      </c>
      <c r="C79" s="138" t="e">
        <f aca="false">'kryteria overseer'!d$86</f>
        <v>#NAME?</v>
      </c>
      <c r="D79" s="138" t="n">
        <f aca="false">IFERROR(C79,0)</f>
        <v>0</v>
      </c>
      <c r="E79" s="139" t="e">
        <f aca="false">'kryteria overseer'!f$86</f>
        <v>#NAME?</v>
      </c>
      <c r="F79" s="140"/>
      <c r="G79" s="117" t="s">
        <v>280</v>
      </c>
      <c r="H79" s="138" t="e">
        <f aca="false">'kryteria overseer'!i$86</f>
        <v>#NAME?</v>
      </c>
      <c r="I79" s="138" t="n">
        <f aca="false">IFERROR(H79,0)</f>
        <v>0</v>
      </c>
      <c r="J79" s="139" t="e">
        <f aca="false">'kryteria overseer'!k$86</f>
        <v>#NAME?</v>
      </c>
      <c r="K79" s="140"/>
      <c r="L79" s="117" t="s">
        <v>280</v>
      </c>
      <c r="M79" s="138" t="e">
        <f aca="false">'kryteria overseer'!n$86</f>
        <v>#NAME?</v>
      </c>
      <c r="N79" s="138" t="n">
        <f aca="false">IFERROR(M79,0)</f>
        <v>0</v>
      </c>
      <c r="O79" s="139" t="e">
        <f aca="false">'kryteria overseer'!p$86</f>
        <v>#NAME?</v>
      </c>
      <c r="P79" s="140"/>
      <c r="Q79" s="117" t="s">
        <v>280</v>
      </c>
      <c r="R79" s="138" t="e">
        <f aca="false">'kryteria overseer'!s$86</f>
        <v>#NAME?</v>
      </c>
      <c r="S79" s="138" t="n">
        <f aca="false">IFERROR(R79,0)</f>
        <v>0</v>
      </c>
      <c r="T79" s="139" t="e">
        <f aca="false">'kryteria overseer'!u$86</f>
        <v>#NAME?</v>
      </c>
    </row>
    <row r="80" customFormat="false" ht="24.4" hidden="false" customHeight="false" outlineLevel="0" collapsed="false">
      <c r="A80" s="137"/>
      <c r="B80" s="143" t="s">
        <v>269</v>
      </c>
      <c r="C80" s="144" t="e">
        <f aca="false">SUM(E76:E79)/
(
COUNT(C76:C79)*
'kryteria badany'!g$86
)</f>
        <v>#NAME?</v>
      </c>
      <c r="D80" s="145" t="e">
        <f aca="false">ifs(
ISERR(C80),
"",
ISNUMBER(C80),
C80&gt;=0.5
)</f>
        <v>#NAME?</v>
      </c>
      <c r="E80" s="146" t="str">
        <f aca="false">IFERROR(__xludf.dummyfunction("IFS(
OR(
EXACT(""Error - check cell values"",D76),
EXACT(""Error - check cell values"",D77),
EXACT(""Error - check cell values"",D78),
EXACT(""Error - check cell values"",D79),
),
""Error - check cell values"",
EXACT("""",D80),
""Empty section"",
NOT(D8"&amp;"0),
""Too few answers"",
D80,
AVERAGE.WEIGHTED(D76:D79,E76:E79)*100
)"),"Empty section")</f>
        <v>Empty section</v>
      </c>
      <c r="F80" s="140"/>
      <c r="G80" s="143" t="s">
        <v>269</v>
      </c>
      <c r="H80" s="144" t="e">
        <f aca="false">SUM(J76:J79)/
(
COUNT(H76:H79)*
'kryteria badany'!l$86
)</f>
        <v>#NAME?</v>
      </c>
      <c r="I80" s="145" t="e">
        <f aca="false">ifs(
ISERR(H80),
"",
ISNUMBER(H80),
H80&gt;=0.5
)</f>
        <v>#NAME?</v>
      </c>
      <c r="J80" s="146" t="str">
        <f aca="false">IFERROR(__xludf.dummyfunction("IFS(
OR(
EXACT(""Error - check cell values"",I76),
EXACT(""Error - check cell values"",I77),
EXACT(""Error - check cell values"",I78),
EXACT(""Error - check cell values"",I79),
),
""Error - check cell values"",
EXACT("""",I80),
""Empty section"",
NOT(I8"&amp;"0),
""Too few answers"",
I80,
AVERAGE.WEIGHTED(I76:I79,J76:J79)*100
)"),"Empty section")</f>
        <v>Empty section</v>
      </c>
      <c r="K80" s="147"/>
      <c r="L80" s="143" t="s">
        <v>269</v>
      </c>
      <c r="M80" s="144" t="e">
        <f aca="false">SUM(O76:O79)/
(
COUNT(M76:M79)*
'kryteria badany'!q$86
)</f>
        <v>#NAME?</v>
      </c>
      <c r="N80" s="145" t="e">
        <f aca="false">ifs(
ISERR(M80),
"",
ISNUMBER(M80),
M80&gt;=0.5
)</f>
        <v>#NAME?</v>
      </c>
      <c r="O80" s="146" t="str">
        <f aca="false">IFERROR(__xludf.dummyfunction("IFS(
OR(
EXACT(""Error - check cell values"",N76),
EXACT(""Error - check cell values"",N77),
EXACT(""Error - check cell values"",N78),
EXACT(""Error - check cell values"",N79),
),
""Error - check cell values"",
EXACT("""",N80),
""Empty section"",
NOT(N8"&amp;"0),
""Too few answers"",
N80,
AVERAGE.WEIGHTED(N76:N79,O76:O79)*100
)"),"Empty section")</f>
        <v>Empty section</v>
      </c>
      <c r="P80" s="147"/>
      <c r="Q80" s="143" t="s">
        <v>269</v>
      </c>
      <c r="R80" s="144" t="e">
        <f aca="false">SUM(T76:T79)/
(
COUNT(R76:R79)*
'kryteria badany'!v$86
)</f>
        <v>#NAME?</v>
      </c>
      <c r="S80" s="145" t="e">
        <f aca="false">ifs(
ISERR(R80),
"",
ISNUMBER(R80),
R80&gt;=0.5
)</f>
        <v>#NAME?</v>
      </c>
      <c r="T80" s="146" t="str">
        <f aca="false">IFERROR(__xludf.dummyfunction("IFS(
OR(
EXACT(""Error - check cell values"",S76),
EXACT(""Error - check cell values"",S77),
EXACT(""Error - check cell values"",S78),
EXACT(""Error - check cell values"",S79),
),
""Error - check cell values"",
EXACT("""",S80),
""Empty section"",
NOT(S8"&amp;"0),
""Too few answers"",
S80,
AVERAGE.WEIGHTED(S76:S79,T76:T79)*100
)"),"Empty section")</f>
        <v>Empty section</v>
      </c>
    </row>
    <row r="81" customFormat="false" ht="27" hidden="false" customHeight="true" outlineLevel="0" collapsed="false">
      <c r="A81" s="154"/>
      <c r="B81" s="155" t="s">
        <v>54</v>
      </c>
      <c r="C81" s="155"/>
      <c r="D81" s="155"/>
      <c r="E81" s="155"/>
      <c r="F81" s="156"/>
      <c r="G81" s="155" t="s">
        <v>55</v>
      </c>
      <c r="H81" s="155"/>
      <c r="I81" s="155"/>
      <c r="J81" s="155"/>
      <c r="K81" s="156"/>
      <c r="L81" s="155" t="s">
        <v>56</v>
      </c>
      <c r="M81" s="155"/>
      <c r="N81" s="155"/>
      <c r="O81" s="155"/>
      <c r="P81" s="156"/>
      <c r="Q81" s="155" t="s">
        <v>57</v>
      </c>
      <c r="R81" s="155"/>
      <c r="S81" s="155"/>
      <c r="T81" s="155"/>
    </row>
    <row r="82" customFormat="false" ht="15.75" hidden="false" customHeight="true" outlineLevel="0" collapsed="false">
      <c r="A82" s="154"/>
      <c r="B82" s="157" t="s">
        <v>290</v>
      </c>
      <c r="C82" s="157"/>
      <c r="D82" s="157"/>
      <c r="E82" s="158" t="e">
        <f aca="false">AVERAGE(E$38,E$44,E$50,E$56,E$62,E$68,E$74,E$80)</f>
        <v>#DIV/0!</v>
      </c>
      <c r="F82" s="154"/>
      <c r="G82" s="157" t="s">
        <v>291</v>
      </c>
      <c r="H82" s="157"/>
      <c r="I82" s="157"/>
      <c r="J82" s="159" t="e">
        <f aca="false">AVERAGE(J$38,J$44,J$50,J$56,J$62,J$68,J$74,J$80)</f>
        <v>#DIV/0!</v>
      </c>
      <c r="K82" s="154"/>
      <c r="L82" s="157" t="s">
        <v>292</v>
      </c>
      <c r="M82" s="157"/>
      <c r="N82" s="157"/>
      <c r="O82" s="158" t="e">
        <f aca="false">AVERAGE(O$38,O$44,O$50,O$56,O$62,O$68,O$74,O$80)</f>
        <v>#DIV/0!</v>
      </c>
      <c r="P82" s="154"/>
      <c r="Q82" s="157" t="s">
        <v>293</v>
      </c>
      <c r="R82" s="157"/>
      <c r="S82" s="157"/>
      <c r="T82" s="158" t="e">
        <f aca="false">AVERAGE(T$38,T$44,T$50,T$56,T$62,T$68,T$74,T$80)</f>
        <v>#DIV/0!</v>
      </c>
    </row>
    <row r="83" customFormat="false" ht="15.75" hidden="false" customHeight="false" outlineLevel="0" collapsed="false">
      <c r="A83" s="160"/>
    </row>
    <row r="84" customFormat="false" ht="15.75" hidden="false" customHeight="false" outlineLevel="0" collapsed="false">
      <c r="A84" s="161" t="s">
        <v>294</v>
      </c>
    </row>
    <row r="85" customFormat="false" ht="15.75" hidden="false" customHeight="false" outlineLevel="0" collapsed="false">
      <c r="A85" s="161" t="s">
        <v>16</v>
      </c>
    </row>
    <row r="87" customFormat="false" ht="15.75" hidden="false" customHeight="false" outlineLevel="0" collapsed="false">
      <c r="A87" s="161" t="s">
        <v>295</v>
      </c>
    </row>
    <row r="88" customFormat="false" ht="15.75" hidden="false" customHeight="false" outlineLevel="0" collapsed="false">
      <c r="A88" s="161" t="s">
        <v>25</v>
      </c>
    </row>
    <row r="90" customFormat="false" ht="15.75" hidden="false" customHeight="false" outlineLevel="0" collapsed="false">
      <c r="A90" s="13" t="s">
        <v>53</v>
      </c>
    </row>
  </sheetData>
  <mergeCells count="48">
    <mergeCell ref="A1:C1"/>
    <mergeCell ref="E1:H1"/>
    <mergeCell ref="J1:M1"/>
    <mergeCell ref="O1:S1"/>
    <mergeCell ref="E2:H30"/>
    <mergeCell ref="J2:M30"/>
    <mergeCell ref="O2:S2"/>
    <mergeCell ref="O3:S3"/>
    <mergeCell ref="O4:P5"/>
    <mergeCell ref="Q4:S5"/>
    <mergeCell ref="O6:P9"/>
    <mergeCell ref="Q6:S9"/>
    <mergeCell ref="O10:P10"/>
    <mergeCell ref="Q10:S10"/>
    <mergeCell ref="A11:C11"/>
    <mergeCell ref="O11:P11"/>
    <mergeCell ref="Q11:S11"/>
    <mergeCell ref="A12:C12"/>
    <mergeCell ref="A13:B13"/>
    <mergeCell ref="O13:S13"/>
    <mergeCell ref="A14:C14"/>
    <mergeCell ref="O14:P14"/>
    <mergeCell ref="Q14:Q18"/>
    <mergeCell ref="R14:S14"/>
    <mergeCell ref="A15:C25"/>
    <mergeCell ref="O20:P20"/>
    <mergeCell ref="R20:S20"/>
    <mergeCell ref="O21:S21"/>
    <mergeCell ref="B33:E33"/>
    <mergeCell ref="G33:J33"/>
    <mergeCell ref="L33:O33"/>
    <mergeCell ref="Q33:T33"/>
    <mergeCell ref="A34:A38"/>
    <mergeCell ref="A40:A44"/>
    <mergeCell ref="A46:A50"/>
    <mergeCell ref="A52:A56"/>
    <mergeCell ref="A58:A62"/>
    <mergeCell ref="A64:A68"/>
    <mergeCell ref="A70:A74"/>
    <mergeCell ref="A76:A80"/>
    <mergeCell ref="B81:E81"/>
    <mergeCell ref="G81:J81"/>
    <mergeCell ref="L81:O81"/>
    <mergeCell ref="Q81:T81"/>
    <mergeCell ref="B82:D82"/>
    <mergeCell ref="G82:I82"/>
    <mergeCell ref="L82:N82"/>
    <mergeCell ref="Q82:S82"/>
  </mergeCells>
  <conditionalFormatting sqref="C2:C9">
    <cfRule type="cellIs" priority="2" operator="greaterThan" aboveAverage="0" equalAverage="0" bottom="0" percent="0" rank="0" text="" dxfId="1">
      <formula>80</formula>
    </cfRule>
    <cfRule type="cellIs" priority="3" operator="lessThanOrEqual" aboveAverage="0" equalAverage="0" bottom="0" percent="0" rank="0" text="" dxfId="2">
      <formula>50</formula>
    </cfRule>
    <cfRule type="cellIs" priority="4" operator="greaterThan" aboveAverage="0" equalAverage="0" bottom="0" percent="0" rank="0" text="" dxfId="3">
      <formula>50</formula>
    </cfRule>
  </conditionalFormatting>
  <conditionalFormatting sqref="C2:C9 C34:E80 E82 F34:T82 O6 O13:S19 O15:O18 R15:R18">
    <cfRule type="containsText" priority="5" operator="containsText" aboveAverage="0" equalAverage="0" bottom="0" percent="0" rank="0" text="Error" dxfId="4">
      <formula>NOT(ISERROR(SEARCH("Error",C2)))</formula>
    </cfRule>
  </conditionalFormatting>
  <conditionalFormatting sqref="C34:E37 C40:E43 C46:E49 C52:E55 C58:E61 C64:E67 C70:E73 C76:E79">
    <cfRule type="expression" priority="6" aboveAverage="0" equalAverage="0" bottom="0" percent="0" rank="0" text="" dxfId="2">
      <formula>ISERROR($C34)</formula>
    </cfRule>
    <cfRule type="expression" priority="7" aboveAverage="0" equalAverage="0" bottom="0" percent="0" rank="0" text="" dxfId="3">
      <formula>NOT(ISERROR($C34))</formula>
    </cfRule>
  </conditionalFormatting>
  <conditionalFormatting sqref="C2:C9 C34:E80 E82 F34:T82 O10 O15:O18 R15:R18">
    <cfRule type="containsText" priority="8" operator="containsText" aboveAverage="0" equalAverage="0" bottom="0" percent="0" rank="0" text="Empty" dxfId="5">
      <formula>NOT(ISERROR(SEARCH("Empty",C2)))</formula>
    </cfRule>
  </conditionalFormatting>
  <conditionalFormatting sqref="C2:C9 C34:E80 E82 F34:T82 O11 O15:O18 R15:R18">
    <cfRule type="containsText" priority="9" operator="containsText" aboveAverage="0" equalAverage="0" bottom="0" percent="0" rank="0" text="few" dxfId="6">
      <formula>NOT(ISERROR(SEARCH("few",C2)))</formula>
    </cfRule>
  </conditionalFormatting>
  <conditionalFormatting sqref="H34:J37 H40:J43 H46:J49 H52:J55 H58:J61 H64:J67 H70:J73 H76:J79">
    <cfRule type="expression" priority="10" aboveAverage="0" equalAverage="0" bottom="0" percent="0" rank="0" text="" dxfId="2">
      <formula>ISERROR($H34)</formula>
    </cfRule>
    <cfRule type="expression" priority="11" aboveAverage="0" equalAverage="0" bottom="0" percent="0" rank="0" text="" dxfId="3">
      <formula>NOT(ISERROR($H34))</formula>
    </cfRule>
  </conditionalFormatting>
  <conditionalFormatting sqref="M34:O37 M40:O43 M46:O49 M52:O55 M58:O61 M64:O67 M70:O73 M76:O79">
    <cfRule type="expression" priority="12" aboveAverage="0" equalAverage="0" bottom="0" percent="0" rank="0" text="" dxfId="2">
      <formula>ISERROR($M34)</formula>
    </cfRule>
    <cfRule type="expression" priority="13" aboveAverage="0" equalAverage="0" bottom="0" percent="0" rank="0" text="" dxfId="3">
      <formula>NOT(ISERROR($M34))</formula>
    </cfRule>
  </conditionalFormatting>
  <conditionalFormatting sqref="R34:T37 R40:T43 R46:T49 R52:T55 R58:T61 R64:T67 R70:T73 R76:T79">
    <cfRule type="expression" priority="14" aboveAverage="0" equalAverage="0" bottom="0" percent="0" rank="0" text="" dxfId="2">
      <formula>ISERROR($R34)</formula>
    </cfRule>
    <cfRule type="expression" priority="15" aboveAverage="0" equalAverage="0" bottom="0" percent="0" rank="0" text="" dxfId="3">
      <formula>NOT(ISERROR($R34))</formula>
    </cfRule>
  </conditionalFormatting>
  <conditionalFormatting sqref="A12">
    <cfRule type="cellIs" priority="16" operator="lessThan" aboveAverage="0" equalAverage="0" bottom="0" percent="0" rank="0" text="" dxfId="2">
      <formula>70</formula>
    </cfRule>
    <cfRule type="cellIs" priority="17" operator="greaterThanOrEqual" aboveAverage="0" equalAverage="0" bottom="0" percent="0" rank="0" text="" dxfId="3">
      <formula>70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2026-05-27T20:27:26Z</dcterms:created>
  <dc:creator>Szymon Dudziak</dc:creator>
  <dc:description>GROW Framework v2.0 — by Szymon Dudziak, Katarzyna Lasoń, Adam Biegański. CC BY 4.0.</dc:description>
  <cp:keywords>engineering management competency framework career development software engineering</cp:keywords>
  <dc:language>pl-PL</dc:language>
  <cp:lastModifiedBy/>
  <dcterms:modified xsi:type="dcterms:W3CDTF">2026-06-16T12:57:13Z</dcterms:modified>
  <cp:revision>3</cp:revision>
  <dc:subject>Engineering Competency Framework</dc:subject>
  <dc:title>GROW Framework — Engineering Competency Evaluation</dc:title>
</cp:coreProperties>
</file>

<file path=docProps/custom.xml><?xml version="1.0" encoding="utf-8"?>
<Properties xmlns="http://schemas.openxmlformats.org/officeDocument/2006/custom-properties" xmlns:vt="http://schemas.openxmlformats.org/officeDocument/2006/docPropsVTypes"/>
</file>